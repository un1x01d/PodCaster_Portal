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<sst xmlns="http://schemas.openxmlformats.org/spreadsheetml/2006/main" count="935" uniqueCount="147">
  <si>
    <t xml:space="preserve">#</t>
  </si>
  <si>
    <t xml:space="preserve">Deal Type</t>
  </si>
  <si>
    <t xml:space="preserve">Teammember Name</t>
  </si>
  <si>
    <t xml:space="preserve">Advertiser</t>
  </si>
  <si>
    <t xml:space="preserve">Probability</t>
  </si>
  <si>
    <t xml:space="preserve">Agency</t>
  </si>
  <si>
    <t xml:space="preserve">Product Type</t>
  </si>
  <si>
    <t xml:space="preserve">Broadcast Month Name Ordered</t>
  </si>
  <si>
    <t xml:space="preserve">Deal Name</t>
  </si>
  <si>
    <t xml:space="preserve">Teammember Share</t>
  </si>
  <si>
    <t xml:space="preserve">Show Rev Share Percentage</t>
  </si>
  <si>
    <t xml:space="preserve">Show Flat Rev Share</t>
  </si>
  <si>
    <t xml:space="preserve">Deal Closed Date</t>
  </si>
  <si>
    <t xml:space="preserve">Order Id</t>
  </si>
  <si>
    <t xml:space="preserve">From MDR Data?</t>
  </si>
  <si>
    <t xml:space="preserve">Billing Calendar</t>
  </si>
  <si>
    <t xml:space="preserve">Show Content Parent</t>
  </si>
  <si>
    <t xml:space="preserve">Show Name Level0</t>
  </si>
  <si>
    <t xml:space="preserve">Order ID</t>
  </si>
  <si>
    <t xml:space="preserve">Forecast Budget Distributed</t>
  </si>
  <si>
    <t xml:space="preserve">Quantity Delivered Distributed</t>
  </si>
  <si>
    <t xml:space="preserve">Net-Net</t>
  </si>
  <si>
    <t xml:space="preserve">Broadcast Month</t>
  </si>
  <si>
    <t xml:space="preserve">digital - direct</t>
  </si>
  <si>
    <t xml:space="preserve">Amelia Bailey</t>
  </si>
  <si>
    <t xml:space="preserve">Cozy Earth</t>
  </si>
  <si>
    <t xml:space="preserve">Cozy Earth - direct</t>
  </si>
  <si>
    <t xml:space="preserve">Podcast O&amp;O</t>
  </si>
  <si>
    <t xml:space="preserve">12-December 2024</t>
  </si>
  <si>
    <t xml:space="preserve">Cozy Earth: Direct_Unbiased/BA_Q4'24: 1626535</t>
  </si>
  <si>
    <t xml:space="preserve">1626535</t>
  </si>
  <si>
    <t xml:space="preserve">false</t>
  </si>
  <si>
    <t xml:space="preserve">Jordan Berman</t>
  </si>
  <si>
    <t xml:space="preserve">UNBIASED</t>
  </si>
  <si>
    <t xml:space="preserve">open</t>
  </si>
  <si>
    <t xml:space="preserve">Maybe Both LLC</t>
  </si>
  <si>
    <t xml:space="preserve">Brutally Anna</t>
  </si>
  <si>
    <t xml:space="preserve">Angela Codella</t>
  </si>
  <si>
    <t xml:space="preserve">MeUndies</t>
  </si>
  <si>
    <t xml:space="preserve">Veritone</t>
  </si>
  <si>
    <t xml:space="preserve">MeUndies: Veritone_MWMH/AL/TMD_Q4'24: 1609815</t>
  </si>
  <si>
    <t xml:space="preserve">1609815</t>
  </si>
  <si>
    <t xml:space="preserve">Lisa Damour, PHD, LLC</t>
  </si>
  <si>
    <t xml:space="preserve">Ask Lisa: The Psychology of Parenting</t>
  </si>
  <si>
    <t xml:space="preserve">Your Zen Mama LLC</t>
  </si>
  <si>
    <t xml:space="preserve">The Mother Daze with Sarah Wright Olsen &amp; Teresa Palmer</t>
  </si>
  <si>
    <t xml:space="preserve">MWMH LLC (Murder with my Husband)</t>
  </si>
  <si>
    <t xml:space="preserve">Murder With My Husband</t>
  </si>
  <si>
    <t xml:space="preserve">Alexa Marulli</t>
  </si>
  <si>
    <t xml:space="preserve">Omaha Steaks</t>
  </si>
  <si>
    <t xml:space="preserve">Ad Results, Inc.</t>
  </si>
  <si>
    <t xml:space="preserve">Omaha Steaks: ARM_MWMH_Q4'24: 1559768</t>
  </si>
  <si>
    <t xml:space="preserve">1559768</t>
  </si>
  <si>
    <t xml:space="preserve">SelectQuote</t>
  </si>
  <si>
    <t xml:space="preserve">Oxford Road</t>
  </si>
  <si>
    <t xml:space="preserve">SelectQuote: OXR_AL/CA/TFBR_Q4'24: 1617331</t>
  </si>
  <si>
    <t xml:space="preserve">1617331</t>
  </si>
  <si>
    <t xml:space="preserve">Crime Analyst</t>
  </si>
  <si>
    <t xml:space="preserve">Eeriecast Network</t>
  </si>
  <si>
    <t xml:space="preserve">Tales from the Break Room</t>
  </si>
  <si>
    <t xml:space="preserve">Aura Frames</t>
  </si>
  <si>
    <t xml:space="preserve">Aura Frames - Direct</t>
  </si>
  <si>
    <t xml:space="preserve">Aura Frames: Direct_ITD/TS_DEC'24: 1547462</t>
  </si>
  <si>
    <t xml:space="preserve">1547462</t>
  </si>
  <si>
    <t xml:space="preserve">LunaShark Productions - True Sunlight</t>
  </si>
  <si>
    <t xml:space="preserve">True Sunlight</t>
  </si>
  <si>
    <t xml:space="preserve">Into The Dark</t>
  </si>
  <si>
    <t xml:space="preserve">Acorns</t>
  </si>
  <si>
    <t xml:space="preserve">Out Loud Group</t>
  </si>
  <si>
    <t xml:space="preserve">Acorns : Outloud_MP_NOV'24: 1622349</t>
  </si>
  <si>
    <t xml:space="preserve">1622349</t>
  </si>
  <si>
    <t xml:space="preserve">Voices for Justice - Media Pressure</t>
  </si>
  <si>
    <t xml:space="preserve">Media Pressure</t>
  </si>
  <si>
    <t xml:space="preserve">Precision Garage Door</t>
  </si>
  <si>
    <t xml:space="preserve">Precision Garage Door - Direct</t>
  </si>
  <si>
    <t xml:space="preserve">Precision Garage Door : Direct_TS_Q4'24: 1618470</t>
  </si>
  <si>
    <t xml:space="preserve">1618470</t>
  </si>
  <si>
    <t xml:space="preserve">Doordash</t>
  </si>
  <si>
    <t xml:space="preserve">Wavemaker</t>
  </si>
  <si>
    <t xml:space="preserve">Doordash: Wavemaker_GW_Q4'24: 1473947</t>
  </si>
  <si>
    <t xml:space="preserve">1473947</t>
  </si>
  <si>
    <t xml:space="preserve">Dark West Productions LLC</t>
  </si>
  <si>
    <t xml:space="preserve">Going West: True Crime</t>
  </si>
  <si>
    <t xml:space="preserve">Shopify</t>
  </si>
  <si>
    <t xml:space="preserve">10-October 2024</t>
  </si>
  <si>
    <t xml:space="preserve">Shopify: OXR_DT/RON_Q4'23: 1620904</t>
  </si>
  <si>
    <t xml:space="preserve">1620904</t>
  </si>
  <si>
    <t xml:space="preserve">AdLarge Media LLC - unallocated RON</t>
  </si>
  <si>
    <t xml:space="preserve">All podcasts RON</t>
  </si>
  <si>
    <t xml:space="preserve">Destination Terror</t>
  </si>
  <si>
    <t xml:space="preserve">Quince</t>
  </si>
  <si>
    <t xml:space="preserve">Quince: Veritone_MWMH_GW_Q4'24: 1566686</t>
  </si>
  <si>
    <t xml:space="preserve">1566686</t>
  </si>
  <si>
    <t xml:space="preserve">Honeylove</t>
  </si>
  <si>
    <t xml:space="preserve">Podscale Media</t>
  </si>
  <si>
    <t xml:space="preserve">Honeylove: Podscale_Swindled_Q4'24: 1619914</t>
  </si>
  <si>
    <t xml:space="preserve">1619914</t>
  </si>
  <si>
    <t xml:space="preserve">Swindled</t>
  </si>
  <si>
    <t xml:space="preserve">Skylight Frame</t>
  </si>
  <si>
    <t xml:space="preserve">Strategic Media, Inc.</t>
  </si>
  <si>
    <t xml:space="preserve">Skylight Frame: Strategic_AL_Q4'24 : 1620003</t>
  </si>
  <si>
    <t xml:space="preserve">1620003</t>
  </si>
  <si>
    <t xml:space="preserve">Skylight Frame: Strategic_RSD_Q4'24: 1620014</t>
  </si>
  <si>
    <t xml:space="preserve">1620014</t>
  </si>
  <si>
    <t xml:space="preserve">idobi Productions, LLC</t>
  </si>
  <si>
    <t xml:space="preserve">Rockstar Dad Show</t>
  </si>
  <si>
    <t xml:space="preserve">Skylight Frame: Strategic_MWMH_Q4'24: 1574041</t>
  </si>
  <si>
    <t xml:space="preserve">1574041</t>
  </si>
  <si>
    <t xml:space="preserve">HelloFresh</t>
  </si>
  <si>
    <t xml:space="preserve">HelloFresh: Veritone_CEO/CONE/MLV/DF/TMT/TMN/TMD_Q4'24: 1569071</t>
  </si>
  <si>
    <t xml:space="preserve">1569071</t>
  </si>
  <si>
    <t xml:space="preserve">INLET - Malevolent Mischief True Stories of Horror</t>
  </si>
  <si>
    <t xml:space="preserve">Malevolent Mischief: True Stories of Horror</t>
  </si>
  <si>
    <t xml:space="preserve">Superstar Hotdish Productions</t>
  </si>
  <si>
    <t xml:space="preserve">Daily Fail</t>
  </si>
  <si>
    <t xml:space="preserve">Whitney Hansen LLC</t>
  </si>
  <si>
    <t xml:space="preserve">The Money Nerds</t>
  </si>
  <si>
    <t xml:space="preserve">Cone's Cave</t>
  </si>
  <si>
    <t xml:space="preserve">The Mean Time</t>
  </si>
  <si>
    <t xml:space="preserve">Mombossco, LLC, dba CEO School</t>
  </si>
  <si>
    <t xml:space="preserve">CEO School</t>
  </si>
  <si>
    <t xml:space="preserve">Hers</t>
  </si>
  <si>
    <t xml:space="preserve">Right Side Up</t>
  </si>
  <si>
    <t xml:space="preserve">Hers: RSU_TCPackage_Q4'24: 1563056</t>
  </si>
  <si>
    <t xml:space="preserve">1563056</t>
  </si>
  <si>
    <t xml:space="preserve">Authentic Management Productions</t>
  </si>
  <si>
    <t xml:space="preserve">RuPaul's Drag Race Recap</t>
  </si>
  <si>
    <t xml:space="preserve">Voices for Justice</t>
  </si>
  <si>
    <t xml:space="preserve">Death by Southwest</t>
  </si>
  <si>
    <t xml:space="preserve">Death X Southwest: True Crime Podcast</t>
  </si>
  <si>
    <t xml:space="preserve">LunaShark Productions - Cup of Justice</t>
  </si>
  <si>
    <t xml:space="preserve">Cup Of Justice</t>
  </si>
  <si>
    <t xml:space="preserve">DeleteMe</t>
  </si>
  <si>
    <t xml:space="preserve">DeleteMe: Strategic_SWIN_Q4'24: 1611742</t>
  </si>
  <si>
    <t xml:space="preserve">1611742</t>
  </si>
  <si>
    <t xml:space="preserve">Quince: Veritone_COJ_Q4'24: 1610269</t>
  </si>
  <si>
    <t xml:space="preserve">1610269</t>
  </si>
  <si>
    <t xml:space="preserve">Peloton</t>
  </si>
  <si>
    <t xml:space="preserve">Horizon Media</t>
  </si>
  <si>
    <t xml:space="preserve">Peloton: Horizon_fwd.package/HRB_Q4'24: 1469151</t>
  </si>
  <si>
    <t xml:space="preserve">1469151</t>
  </si>
  <si>
    <t xml:space="preserve">AdLarge Media LLC</t>
  </si>
  <si>
    <t xml:space="preserve">ArtsAI Claritas</t>
  </si>
  <si>
    <t xml:space="preserve">And There it is Media</t>
  </si>
  <si>
    <t xml:space="preserve">Right Answers Mostly</t>
  </si>
  <si>
    <t xml:space="preserve">HR Besties LLC</t>
  </si>
  <si>
    <t xml:space="preserve">HR BESTIES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</si>
</sst>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\%"/>
    <numFmt numFmtId="166" formatCode="yyyy\-mm\-dd"/>
    <numFmt numFmtId="167" formatCode="\$#,##0.00;&quot;($&quot;#,##0.00\)"/>
    <numFmt numFmtId="168" formatCode="_(\$* #,##0.00_);_(\$* \(#,##0.00\);_(\$* \-??_);_(@_)"/>
    <numFmt numFmtId="169" formatCode="m/d/yyyy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5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048528"/>
    </sheetView>
  </sheetViews>
  <sheetFormatPr defaultColWidth="11.53515625" defaultRowHeight="12.8" zeroHeight="false" outlineLevelRow="0" outlineLevelCol="0"/>
  <cols>
    <col collapsed="false" customWidth="false" hidden="false" outlineLevel="0" max="3" min="2" style="1" width="11.53"/>
    <col collapsed="false" customWidth="false" hidden="false" outlineLevel="0" max="5" min="5" style="1" width="11.53"/>
    <col collapsed="false" customWidth="false" hidden="false" outlineLevel="0" max="9" min="7" style="1" width="11.53"/>
    <col collapsed="false" customWidth="false" hidden="false" outlineLevel="0" max="11" min="11" style="1" width="11.53"/>
    <col collapsed="false" customWidth="false" hidden="false" outlineLevel="0" max="13" min="13" style="1" width="11.53"/>
    <col collapsed="false" customWidth="false" hidden="false" outlineLevel="0" max="18" min="17" style="1" width="11.53"/>
    <col collapsed="false" customWidth="false" hidden="false" outlineLevel="0" max="20" min="20" style="1" width="11.53"/>
    <col collapsed="false" customWidth="false" hidden="false" outlineLevel="0" max="23" min="22" style="1" width="11.53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</row>
    <row r="2" customFormat="false" ht="15" hidden="false" customHeight="true" outlineLevel="0" collapsed="false">
      <c r="A2" s="1" t="n">
        <v>3</v>
      </c>
      <c r="B2" s="1" t="s">
        <v>23</v>
      </c>
      <c r="C2" s="1" t="s">
        <v>24</v>
      </c>
      <c r="D2" s="1" t="s">
        <v>25</v>
      </c>
      <c r="E2" s="4" t="n">
        <v>100</v>
      </c>
      <c r="F2" s="5" t="s">
        <v>26</v>
      </c>
      <c r="G2" s="5" t="s">
        <v>27</v>
      </c>
      <c r="H2" s="5" t="s">
        <v>28</v>
      </c>
      <c r="I2" s="5" t="s">
        <v>29</v>
      </c>
      <c r="J2" s="1" t="n">
        <v>100</v>
      </c>
      <c r="K2" s="1" t="n">
        <v>70</v>
      </c>
      <c r="M2" s="6" t="n">
        <v>45590</v>
      </c>
      <c r="N2" s="5" t="s">
        <v>30</v>
      </c>
      <c r="O2" s="5" t="s">
        <v>31</v>
      </c>
      <c r="Q2" s="5" t="s">
        <v>32</v>
      </c>
      <c r="R2" s="5" t="s">
        <v>33</v>
      </c>
      <c r="S2" s="5" t="s">
        <v>34</v>
      </c>
      <c r="T2" s="7" t="n">
        <v>2000</v>
      </c>
      <c r="U2" s="1" t="n">
        <v>0</v>
      </c>
      <c r="V2" s="8" t="n">
        <f aca="false">IF(L2&gt;0,L2,K2*T2/100)</f>
        <v>1400</v>
      </c>
      <c r="W2" s="9" t="e">
        <f aca="false">EOMONTH(H2,0)-(WEEKDAY(EOMONTH(H2,0))-1)</f>
        <v>#VALUE!</v>
      </c>
    </row>
    <row r="3" customFormat="false" ht="15" hidden="false" customHeight="true" outlineLevel="0" collapsed="false">
      <c r="A3" s="1" t="n">
        <v>4</v>
      </c>
      <c r="B3" s="1" t="s">
        <v>23</v>
      </c>
      <c r="C3" s="1" t="s">
        <v>24</v>
      </c>
      <c r="D3" s="1" t="s">
        <v>25</v>
      </c>
      <c r="E3" s="4" t="n">
        <v>100</v>
      </c>
      <c r="F3" s="5" t="s">
        <v>26</v>
      </c>
      <c r="G3" s="5" t="s">
        <v>27</v>
      </c>
      <c r="H3" s="5" t="s">
        <v>28</v>
      </c>
      <c r="I3" s="5" t="s">
        <v>29</v>
      </c>
      <c r="J3" s="1" t="n">
        <v>100</v>
      </c>
      <c r="K3" s="1" t="n">
        <v>70</v>
      </c>
      <c r="M3" s="6" t="n">
        <v>45590</v>
      </c>
      <c r="N3" s="5" t="s">
        <v>30</v>
      </c>
      <c r="O3" s="5" t="s">
        <v>31</v>
      </c>
      <c r="Q3" s="5" t="s">
        <v>35</v>
      </c>
      <c r="R3" s="5" t="s">
        <v>36</v>
      </c>
      <c r="S3" s="5" t="s">
        <v>34</v>
      </c>
      <c r="T3" s="7" t="n">
        <v>458.333333</v>
      </c>
      <c r="U3" s="1" t="n">
        <v>0</v>
      </c>
      <c r="V3" s="8" t="n">
        <f aca="false">IF(L3&gt;0,L3,K3*T3/100)</f>
        <v>320.8333331</v>
      </c>
      <c r="W3" s="9" t="e">
        <f aca="false">EOMONTH(H3,0)-(WEEKDAY(EOMONTH(H3,0))-1)</f>
        <v>#VALUE!</v>
      </c>
    </row>
    <row r="4" customFormat="false" ht="15" hidden="false" customHeight="true" outlineLevel="0" collapsed="false">
      <c r="A4" s="1" t="n">
        <v>311</v>
      </c>
      <c r="B4" s="1" t="s">
        <v>23</v>
      </c>
      <c r="C4" s="1" t="s">
        <v>37</v>
      </c>
      <c r="D4" s="1" t="s">
        <v>38</v>
      </c>
      <c r="E4" s="4" t="n">
        <v>100</v>
      </c>
      <c r="F4" s="5" t="s">
        <v>39</v>
      </c>
      <c r="G4" s="5" t="s">
        <v>27</v>
      </c>
      <c r="H4" s="5" t="s">
        <v>28</v>
      </c>
      <c r="I4" s="5" t="s">
        <v>40</v>
      </c>
      <c r="J4" s="1" t="n">
        <v>100</v>
      </c>
      <c r="K4" s="1" t="n">
        <v>70</v>
      </c>
      <c r="M4" s="6" t="n">
        <v>45588</v>
      </c>
      <c r="N4" s="5" t="s">
        <v>41</v>
      </c>
      <c r="O4" s="5" t="s">
        <v>31</v>
      </c>
      <c r="Q4" s="5" t="s">
        <v>42</v>
      </c>
      <c r="R4" s="5" t="s">
        <v>43</v>
      </c>
      <c r="S4" s="5" t="s">
        <v>34</v>
      </c>
      <c r="T4" s="7" t="n">
        <v>375</v>
      </c>
      <c r="U4" s="1" t="n">
        <v>0</v>
      </c>
      <c r="V4" s="8" t="n">
        <f aca="false">IF(L4&gt;0,L4,K4*T4/100)</f>
        <v>262.5</v>
      </c>
      <c r="W4" s="9" t="e">
        <f aca="false">EOMONTH(H4,0)-(WEEKDAY(EOMONTH(H4,0))-1)</f>
        <v>#VALUE!</v>
      </c>
    </row>
    <row r="5" customFormat="false" ht="15" hidden="false" customHeight="true" outlineLevel="0" collapsed="false">
      <c r="A5" s="1" t="n">
        <v>312</v>
      </c>
      <c r="B5" s="1" t="s">
        <v>23</v>
      </c>
      <c r="C5" s="1" t="s">
        <v>37</v>
      </c>
      <c r="D5" s="1" t="s">
        <v>38</v>
      </c>
      <c r="E5" s="4" t="n">
        <v>100</v>
      </c>
      <c r="F5" s="5" t="s">
        <v>39</v>
      </c>
      <c r="G5" s="5" t="s">
        <v>27</v>
      </c>
      <c r="H5" s="5" t="s">
        <v>28</v>
      </c>
      <c r="I5" s="5" t="s">
        <v>40</v>
      </c>
      <c r="J5" s="1" t="n">
        <v>100</v>
      </c>
      <c r="K5" s="1" t="n">
        <v>70</v>
      </c>
      <c r="M5" s="6" t="n">
        <v>45588</v>
      </c>
      <c r="N5" s="5" t="s">
        <v>41</v>
      </c>
      <c r="O5" s="5" t="s">
        <v>31</v>
      </c>
      <c r="Q5" s="5" t="s">
        <v>44</v>
      </c>
      <c r="R5" s="5" t="s">
        <v>45</v>
      </c>
      <c r="S5" s="5" t="s">
        <v>34</v>
      </c>
      <c r="T5" s="7" t="n">
        <v>188</v>
      </c>
      <c r="U5" s="1" t="n">
        <v>0</v>
      </c>
      <c r="V5" s="8" t="n">
        <f aca="false">IF(L5&gt;0,L5,K5*T5/100)</f>
        <v>131.6</v>
      </c>
      <c r="W5" s="9" t="e">
        <f aca="false">EOMONTH(H5,0)-(WEEKDAY(EOMONTH(H5,0))-1)</f>
        <v>#VALUE!</v>
      </c>
    </row>
    <row r="6" customFormat="false" ht="15" hidden="false" customHeight="true" outlineLevel="0" collapsed="false">
      <c r="A6" s="1" t="n">
        <v>313</v>
      </c>
      <c r="B6" s="1" t="s">
        <v>23</v>
      </c>
      <c r="C6" s="1" t="s">
        <v>37</v>
      </c>
      <c r="D6" s="1" t="s">
        <v>38</v>
      </c>
      <c r="E6" s="4" t="n">
        <v>100</v>
      </c>
      <c r="F6" s="5" t="s">
        <v>39</v>
      </c>
      <c r="G6" s="5" t="s">
        <v>27</v>
      </c>
      <c r="H6" s="5" t="s">
        <v>28</v>
      </c>
      <c r="I6" s="5" t="s">
        <v>40</v>
      </c>
      <c r="J6" s="1" t="n">
        <v>100</v>
      </c>
      <c r="K6" s="1" t="n">
        <v>77.5</v>
      </c>
      <c r="M6" s="6" t="n">
        <v>45588</v>
      </c>
      <c r="N6" s="5" t="s">
        <v>41</v>
      </c>
      <c r="O6" s="5" t="s">
        <v>31</v>
      </c>
      <c r="Q6" s="5" t="s">
        <v>46</v>
      </c>
      <c r="R6" s="5" t="s">
        <v>47</v>
      </c>
      <c r="S6" s="5" t="s">
        <v>34</v>
      </c>
      <c r="T6" s="7" t="n">
        <v>3749.999999</v>
      </c>
      <c r="U6" s="1" t="n">
        <v>0</v>
      </c>
      <c r="V6" s="8" t="n">
        <f aca="false">IF(L6&gt;0,L6,K6*T6/100)</f>
        <v>2906.249999225</v>
      </c>
      <c r="W6" s="9" t="e">
        <f aca="false">EOMONTH(H6,0)-(WEEKDAY(EOMONTH(H6,0))-1)</f>
        <v>#VALUE!</v>
      </c>
    </row>
    <row r="7" customFormat="false" ht="15" hidden="false" customHeight="true" outlineLevel="0" collapsed="false">
      <c r="A7" s="1" t="n">
        <v>315</v>
      </c>
      <c r="B7" s="1" t="s">
        <v>23</v>
      </c>
      <c r="C7" s="1" t="s">
        <v>48</v>
      </c>
      <c r="D7" s="1" t="s">
        <v>49</v>
      </c>
      <c r="E7" s="4" t="n">
        <v>100</v>
      </c>
      <c r="F7" s="5" t="s">
        <v>50</v>
      </c>
      <c r="G7" s="5" t="s">
        <v>27</v>
      </c>
      <c r="H7" s="5" t="s">
        <v>28</v>
      </c>
      <c r="I7" s="5" t="s">
        <v>51</v>
      </c>
      <c r="J7" s="1" t="n">
        <v>100</v>
      </c>
      <c r="K7" s="1" t="n">
        <v>77.5</v>
      </c>
      <c r="M7" s="6" t="n">
        <v>45586</v>
      </c>
      <c r="N7" s="5" t="s">
        <v>52</v>
      </c>
      <c r="O7" s="5" t="s">
        <v>31</v>
      </c>
      <c r="Q7" s="5" t="s">
        <v>46</v>
      </c>
      <c r="R7" s="5" t="s">
        <v>47</v>
      </c>
      <c r="S7" s="5" t="s">
        <v>34</v>
      </c>
      <c r="T7" s="7" t="n">
        <v>4250</v>
      </c>
      <c r="U7" s="1" t="n">
        <v>0</v>
      </c>
      <c r="V7" s="8" t="n">
        <f aca="false">IF(L7&gt;0,L7,K7*T7/100)</f>
        <v>3293.75</v>
      </c>
      <c r="W7" s="9" t="e">
        <f aca="false">EOMONTH(H7,0)-(WEEKDAY(EOMONTH(H7,0))-1)</f>
        <v>#VALUE!</v>
      </c>
    </row>
    <row r="8" customFormat="false" ht="15" hidden="false" customHeight="true" outlineLevel="0" collapsed="false">
      <c r="A8" s="1" t="n">
        <v>319</v>
      </c>
      <c r="B8" s="1" t="s">
        <v>23</v>
      </c>
      <c r="C8" s="1" t="s">
        <v>48</v>
      </c>
      <c r="D8" s="1" t="s">
        <v>53</v>
      </c>
      <c r="E8" s="4" t="n">
        <v>100</v>
      </c>
      <c r="F8" s="5" t="s">
        <v>54</v>
      </c>
      <c r="G8" s="5" t="s">
        <v>27</v>
      </c>
      <c r="H8" s="5" t="s">
        <v>28</v>
      </c>
      <c r="I8" s="5" t="s">
        <v>55</v>
      </c>
      <c r="J8" s="1" t="n">
        <v>100</v>
      </c>
      <c r="K8" s="1" t="n">
        <v>70</v>
      </c>
      <c r="M8" s="6" t="n">
        <v>45586</v>
      </c>
      <c r="N8" s="5" t="s">
        <v>56</v>
      </c>
      <c r="O8" s="5" t="s">
        <v>31</v>
      </c>
      <c r="Q8" s="5" t="s">
        <v>57</v>
      </c>
      <c r="R8" s="5" t="s">
        <v>57</v>
      </c>
      <c r="S8" s="5" t="s">
        <v>34</v>
      </c>
      <c r="T8" s="7" t="n">
        <v>315.040323</v>
      </c>
      <c r="U8" s="1" t="n">
        <v>0</v>
      </c>
      <c r="V8" s="8" t="n">
        <f aca="false">IF(L8&gt;0,L8,K8*T8/100)</f>
        <v>220.5282261</v>
      </c>
      <c r="W8" s="9" t="e">
        <f aca="false">EOMONTH(H8,0)-(WEEKDAY(EOMONTH(H8,0))-1)</f>
        <v>#VALUE!</v>
      </c>
    </row>
    <row r="9" customFormat="false" ht="15" hidden="false" customHeight="true" outlineLevel="0" collapsed="false">
      <c r="A9" s="1" t="n">
        <v>320</v>
      </c>
      <c r="B9" s="1" t="s">
        <v>23</v>
      </c>
      <c r="C9" s="1" t="s">
        <v>48</v>
      </c>
      <c r="D9" s="1" t="s">
        <v>53</v>
      </c>
      <c r="E9" s="4" t="n">
        <v>100</v>
      </c>
      <c r="F9" s="5" t="s">
        <v>54</v>
      </c>
      <c r="G9" s="5" t="s">
        <v>27</v>
      </c>
      <c r="H9" s="5" t="s">
        <v>28</v>
      </c>
      <c r="I9" s="5" t="s">
        <v>55</v>
      </c>
      <c r="J9" s="1" t="n">
        <v>100</v>
      </c>
      <c r="K9" s="1" t="n">
        <v>70</v>
      </c>
      <c r="M9" s="6" t="n">
        <v>45586</v>
      </c>
      <c r="N9" s="5" t="s">
        <v>56</v>
      </c>
      <c r="O9" s="5" t="s">
        <v>31</v>
      </c>
      <c r="Q9" s="5" t="s">
        <v>58</v>
      </c>
      <c r="R9" s="5" t="s">
        <v>59</v>
      </c>
      <c r="S9" s="5" t="s">
        <v>34</v>
      </c>
      <c r="T9" s="7" t="n">
        <v>1084.173387</v>
      </c>
      <c r="U9" s="1" t="n">
        <v>0</v>
      </c>
      <c r="V9" s="8" t="n">
        <f aca="false">IF(L9&gt;0,L9,K9*T9/100)</f>
        <v>758.9213709</v>
      </c>
      <c r="W9" s="9" t="e">
        <f aca="false">EOMONTH(H9,0)-(WEEKDAY(EOMONTH(H9,0))-1)</f>
        <v>#VALUE!</v>
      </c>
    </row>
    <row r="10" customFormat="false" ht="15" hidden="false" customHeight="true" outlineLevel="0" collapsed="false">
      <c r="A10" s="1" t="n">
        <v>321</v>
      </c>
      <c r="B10" s="1" t="s">
        <v>23</v>
      </c>
      <c r="C10" s="1" t="s">
        <v>48</v>
      </c>
      <c r="D10" s="1" t="s">
        <v>53</v>
      </c>
      <c r="E10" s="4" t="n">
        <v>100</v>
      </c>
      <c r="F10" s="5" t="s">
        <v>54</v>
      </c>
      <c r="G10" s="5" t="s">
        <v>27</v>
      </c>
      <c r="H10" s="5" t="s">
        <v>28</v>
      </c>
      <c r="I10" s="5" t="s">
        <v>55</v>
      </c>
      <c r="J10" s="1" t="n">
        <v>100</v>
      </c>
      <c r="K10" s="1" t="n">
        <v>70</v>
      </c>
      <c r="M10" s="6" t="n">
        <v>45586</v>
      </c>
      <c r="N10" s="5" t="s">
        <v>56</v>
      </c>
      <c r="O10" s="5" t="s">
        <v>31</v>
      </c>
      <c r="Q10" s="5" t="s">
        <v>42</v>
      </c>
      <c r="R10" s="5" t="s">
        <v>43</v>
      </c>
      <c r="S10" s="5" t="s">
        <v>34</v>
      </c>
      <c r="T10" s="7" t="n">
        <v>602.959677</v>
      </c>
      <c r="U10" s="1" t="n">
        <v>0</v>
      </c>
      <c r="V10" s="8" t="n">
        <f aca="false">IF(L10&gt;0,L10,K10*T10/100)</f>
        <v>422.0717739</v>
      </c>
      <c r="W10" s="9" t="e">
        <f aca="false">EOMONTH(H10,0)-(WEEKDAY(EOMONTH(H10,0))-1)</f>
        <v>#VALUE!</v>
      </c>
    </row>
    <row r="11" customFormat="false" ht="15" hidden="false" customHeight="true" outlineLevel="0" collapsed="false">
      <c r="A11" s="1" t="n">
        <v>322</v>
      </c>
      <c r="B11" s="1" t="s">
        <v>23</v>
      </c>
      <c r="C11" s="1" t="s">
        <v>48</v>
      </c>
      <c r="D11" s="1" t="s">
        <v>60</v>
      </c>
      <c r="E11" s="4" t="n">
        <v>100</v>
      </c>
      <c r="F11" s="5" t="s">
        <v>61</v>
      </c>
      <c r="G11" s="5" t="s">
        <v>27</v>
      </c>
      <c r="H11" s="5" t="s">
        <v>28</v>
      </c>
      <c r="I11" s="5" t="s">
        <v>62</v>
      </c>
      <c r="J11" s="1" t="n">
        <v>100</v>
      </c>
      <c r="K11" s="1" t="n">
        <v>77.5</v>
      </c>
      <c r="M11" s="6" t="n">
        <v>45583</v>
      </c>
      <c r="N11" s="5" t="s">
        <v>63</v>
      </c>
      <c r="O11" s="5" t="s">
        <v>31</v>
      </c>
      <c r="Q11" s="5" t="s">
        <v>64</v>
      </c>
      <c r="R11" s="5" t="s">
        <v>65</v>
      </c>
      <c r="S11" s="5" t="s">
        <v>34</v>
      </c>
      <c r="T11" s="7" t="n">
        <v>3990</v>
      </c>
      <c r="U11" s="1" t="n">
        <v>0</v>
      </c>
      <c r="V11" s="8" t="n">
        <f aca="false">IF(L11&gt;0,L11,K11*T11/100)</f>
        <v>3092.25</v>
      </c>
      <c r="W11" s="9" t="e">
        <f aca="false">EOMONTH(H11,0)-(WEEKDAY(EOMONTH(H11,0))-1)</f>
        <v>#VALUE!</v>
      </c>
    </row>
    <row r="12" customFormat="false" ht="15" hidden="false" customHeight="true" outlineLevel="0" collapsed="false">
      <c r="A12" s="1" t="n">
        <v>323</v>
      </c>
      <c r="B12" s="1" t="s">
        <v>23</v>
      </c>
      <c r="C12" s="1" t="s">
        <v>48</v>
      </c>
      <c r="D12" s="1" t="s">
        <v>60</v>
      </c>
      <c r="E12" s="4" t="n">
        <v>100</v>
      </c>
      <c r="F12" s="5" t="s">
        <v>61</v>
      </c>
      <c r="G12" s="5" t="s">
        <v>27</v>
      </c>
      <c r="H12" s="5" t="s">
        <v>28</v>
      </c>
      <c r="I12" s="5" t="s">
        <v>62</v>
      </c>
      <c r="J12" s="1" t="n">
        <v>100</v>
      </c>
      <c r="K12" s="1" t="n">
        <v>77.5</v>
      </c>
      <c r="M12" s="6" t="n">
        <v>45583</v>
      </c>
      <c r="N12" s="5" t="s">
        <v>63</v>
      </c>
      <c r="O12" s="5" t="s">
        <v>31</v>
      </c>
      <c r="Q12" s="5" t="s">
        <v>46</v>
      </c>
      <c r="R12" s="5" t="s">
        <v>66</v>
      </c>
      <c r="S12" s="5" t="s">
        <v>34</v>
      </c>
      <c r="T12" s="7" t="n">
        <v>8282.15</v>
      </c>
      <c r="U12" s="1" t="n">
        <v>0</v>
      </c>
      <c r="V12" s="8" t="n">
        <f aca="false">IF(L12&gt;0,L12,K12*T12/100)</f>
        <v>6418.66625</v>
      </c>
      <c r="W12" s="9" t="e">
        <f aca="false">EOMONTH(H12,0)-(WEEKDAY(EOMONTH(H12,0))-1)</f>
        <v>#VALUE!</v>
      </c>
    </row>
    <row r="13" customFormat="false" ht="15" hidden="false" customHeight="true" outlineLevel="0" collapsed="false">
      <c r="A13" s="1" t="n">
        <v>609</v>
      </c>
      <c r="B13" s="1" t="s">
        <v>23</v>
      </c>
      <c r="C13" s="1" t="s">
        <v>48</v>
      </c>
      <c r="D13" s="1" t="s">
        <v>67</v>
      </c>
      <c r="E13" s="4" t="n">
        <v>100</v>
      </c>
      <c r="F13" s="5" t="s">
        <v>68</v>
      </c>
      <c r="G13" s="5" t="s">
        <v>27</v>
      </c>
      <c r="H13" s="5" t="s">
        <v>28</v>
      </c>
      <c r="I13" s="5" t="s">
        <v>69</v>
      </c>
      <c r="J13" s="1" t="n">
        <v>100</v>
      </c>
      <c r="K13" s="1" t="n">
        <v>70</v>
      </c>
      <c r="M13" s="6" t="n">
        <v>45582</v>
      </c>
      <c r="N13" s="5" t="s">
        <v>70</v>
      </c>
      <c r="O13" s="5" t="s">
        <v>31</v>
      </c>
      <c r="Q13" s="5" t="s">
        <v>71</v>
      </c>
      <c r="R13" s="5" t="s">
        <v>72</v>
      </c>
      <c r="S13" s="5" t="s">
        <v>34</v>
      </c>
      <c r="T13" s="7" t="n">
        <v>460.526316</v>
      </c>
      <c r="U13" s="1" t="n">
        <v>0</v>
      </c>
      <c r="V13" s="8" t="n">
        <f aca="false">IF(L13&gt;0,L13,K13*T13/100)</f>
        <v>322.3684212</v>
      </c>
      <c r="W13" s="9" t="e">
        <f aca="false">EOMONTH(H13,0)-(WEEKDAY(EOMONTH(H13,0))-1)</f>
        <v>#VALUE!</v>
      </c>
    </row>
    <row r="14" customFormat="false" ht="15" hidden="false" customHeight="true" outlineLevel="0" collapsed="false">
      <c r="A14" s="1" t="n">
        <v>611</v>
      </c>
      <c r="B14" s="1" t="s">
        <v>23</v>
      </c>
      <c r="C14" s="1" t="s">
        <v>24</v>
      </c>
      <c r="D14" s="1" t="s">
        <v>73</v>
      </c>
      <c r="E14" s="4" t="n">
        <v>100</v>
      </c>
      <c r="F14" s="5" t="s">
        <v>74</v>
      </c>
      <c r="G14" s="5" t="s">
        <v>27</v>
      </c>
      <c r="H14" s="5" t="s">
        <v>28</v>
      </c>
      <c r="I14" s="5" t="s">
        <v>75</v>
      </c>
      <c r="J14" s="1" t="n">
        <v>100</v>
      </c>
      <c r="K14" s="1" t="n">
        <v>77.5</v>
      </c>
      <c r="M14" s="6" t="n">
        <v>45582</v>
      </c>
      <c r="N14" s="5" t="s">
        <v>76</v>
      </c>
      <c r="O14" s="5" t="s">
        <v>31</v>
      </c>
      <c r="Q14" s="5" t="s">
        <v>64</v>
      </c>
      <c r="R14" s="5" t="s">
        <v>65</v>
      </c>
      <c r="S14" s="5" t="s">
        <v>34</v>
      </c>
      <c r="T14" s="7" t="n">
        <v>711.47541</v>
      </c>
      <c r="U14" s="1" t="n">
        <v>0</v>
      </c>
      <c r="V14" s="8" t="n">
        <f aca="false">IF(L14&gt;0,L14,K14*T14/100)</f>
        <v>551.39344275</v>
      </c>
      <c r="W14" s="9" t="e">
        <f aca="false">EOMONTH(H14,0)-(WEEKDAY(EOMONTH(H14,0))-1)</f>
        <v>#VALUE!</v>
      </c>
    </row>
    <row r="15" customFormat="false" ht="15" hidden="false" customHeight="true" outlineLevel="0" collapsed="false">
      <c r="A15" s="1" t="n">
        <v>613</v>
      </c>
      <c r="B15" s="1" t="s">
        <v>23</v>
      </c>
      <c r="C15" s="1" t="s">
        <v>37</v>
      </c>
      <c r="D15" s="1" t="s">
        <v>77</v>
      </c>
      <c r="E15" s="4" t="n">
        <v>100</v>
      </c>
      <c r="F15" s="5" t="s">
        <v>78</v>
      </c>
      <c r="G15" s="5" t="s">
        <v>27</v>
      </c>
      <c r="H15" s="5" t="s">
        <v>28</v>
      </c>
      <c r="I15" s="5" t="s">
        <v>79</v>
      </c>
      <c r="J15" s="1" t="n">
        <v>100</v>
      </c>
      <c r="K15" s="1" t="n">
        <v>80</v>
      </c>
      <c r="M15" s="6" t="n">
        <v>45581</v>
      </c>
      <c r="N15" s="5" t="s">
        <v>80</v>
      </c>
      <c r="O15" s="5" t="s">
        <v>31</v>
      </c>
      <c r="Q15" s="5" t="s">
        <v>81</v>
      </c>
      <c r="R15" s="5" t="s">
        <v>82</v>
      </c>
      <c r="S15" s="5" t="s">
        <v>34</v>
      </c>
      <c r="T15" s="7" t="n">
        <v>10000</v>
      </c>
      <c r="U15" s="1" t="n">
        <v>0</v>
      </c>
      <c r="V15" s="8" t="n">
        <f aca="false">IF(L15&gt;0,L15,K15*T15/100)</f>
        <v>8000</v>
      </c>
      <c r="W15" s="9" t="e">
        <f aca="false">EOMONTH(H15,0)-(WEEKDAY(EOMONTH(H15,0))-1)</f>
        <v>#VALUE!</v>
      </c>
    </row>
    <row r="16" customFormat="false" ht="15" hidden="false" customHeight="true" outlineLevel="0" collapsed="false">
      <c r="A16" s="1" t="n">
        <v>614</v>
      </c>
      <c r="B16" s="1" t="s">
        <v>23</v>
      </c>
      <c r="C16" s="1" t="s">
        <v>48</v>
      </c>
      <c r="D16" s="1" t="s">
        <v>83</v>
      </c>
      <c r="E16" s="4" t="n">
        <v>100</v>
      </c>
      <c r="F16" s="5" t="s">
        <v>54</v>
      </c>
      <c r="G16" s="5" t="s">
        <v>27</v>
      </c>
      <c r="H16" s="5" t="s">
        <v>84</v>
      </c>
      <c r="I16" s="5" t="s">
        <v>85</v>
      </c>
      <c r="J16" s="1" t="n">
        <v>100</v>
      </c>
      <c r="K16" s="1" t="n">
        <v>0</v>
      </c>
      <c r="M16" s="6" t="n">
        <v>45579</v>
      </c>
      <c r="N16" s="5" t="s">
        <v>86</v>
      </c>
      <c r="O16" s="5" t="s">
        <v>31</v>
      </c>
      <c r="Q16" s="5" t="s">
        <v>87</v>
      </c>
      <c r="R16" s="5" t="s">
        <v>88</v>
      </c>
      <c r="S16" s="5" t="s">
        <v>34</v>
      </c>
      <c r="T16" s="7" t="n">
        <v>2125</v>
      </c>
      <c r="U16" s="1" t="n">
        <v>260056</v>
      </c>
      <c r="V16" s="8" t="n">
        <f aca="false">IF(L16&gt;0,L16,K16*T16/100)</f>
        <v>0</v>
      </c>
      <c r="W16" s="9" t="e">
        <f aca="false">EOMONTH(H16,0)-(WEEKDAY(EOMONTH(H16,0))-1)</f>
        <v>#VALUE!</v>
      </c>
    </row>
    <row r="17" customFormat="false" ht="15" hidden="false" customHeight="true" outlineLevel="0" collapsed="false">
      <c r="A17" s="1" t="n">
        <v>615</v>
      </c>
      <c r="B17" s="1" t="s">
        <v>23</v>
      </c>
      <c r="C17" s="1" t="s">
        <v>48</v>
      </c>
      <c r="D17" s="1" t="s">
        <v>83</v>
      </c>
      <c r="E17" s="4" t="n">
        <v>100</v>
      </c>
      <c r="F17" s="5" t="s">
        <v>54</v>
      </c>
      <c r="G17" s="5" t="s">
        <v>27</v>
      </c>
      <c r="H17" s="5" t="s">
        <v>84</v>
      </c>
      <c r="I17" s="5" t="s">
        <v>85</v>
      </c>
      <c r="J17" s="1" t="n">
        <v>100</v>
      </c>
      <c r="K17" s="1" t="n">
        <v>70</v>
      </c>
      <c r="M17" s="6" t="n">
        <v>45579</v>
      </c>
      <c r="N17" s="5" t="s">
        <v>86</v>
      </c>
      <c r="O17" s="5" t="s">
        <v>31</v>
      </c>
      <c r="Q17" s="5" t="s">
        <v>58</v>
      </c>
      <c r="R17" s="5" t="s">
        <v>89</v>
      </c>
      <c r="S17" s="5" t="s">
        <v>34</v>
      </c>
      <c r="T17" s="7" t="n">
        <v>93.5</v>
      </c>
      <c r="U17" s="1" t="n">
        <v>12143</v>
      </c>
      <c r="V17" s="8" t="n">
        <f aca="false">IF(L17&gt;0,L17,K17*T17/100)</f>
        <v>65.45</v>
      </c>
      <c r="W17" s="9" t="e">
        <f aca="false">EOMONTH(H17,0)-(WEEKDAY(EOMONTH(H17,0))-1)</f>
        <v>#VALUE!</v>
      </c>
    </row>
    <row r="18" customFormat="false" ht="15" hidden="false" customHeight="true" outlineLevel="0" collapsed="false">
      <c r="A18" s="1" t="n">
        <v>618</v>
      </c>
      <c r="B18" s="1" t="s">
        <v>23</v>
      </c>
      <c r="C18" s="1" t="s">
        <v>48</v>
      </c>
      <c r="D18" s="1" t="s">
        <v>83</v>
      </c>
      <c r="E18" s="4" t="n">
        <v>100</v>
      </c>
      <c r="F18" s="5" t="s">
        <v>54</v>
      </c>
      <c r="G18" s="5" t="s">
        <v>27</v>
      </c>
      <c r="H18" s="5" t="s">
        <v>28</v>
      </c>
      <c r="I18" s="5" t="s">
        <v>85</v>
      </c>
      <c r="J18" s="1" t="n">
        <v>100</v>
      </c>
      <c r="K18" s="1" t="n">
        <v>0</v>
      </c>
      <c r="M18" s="6" t="n">
        <v>45579</v>
      </c>
      <c r="N18" s="5" t="s">
        <v>86</v>
      </c>
      <c r="O18" s="5" t="s">
        <v>31</v>
      </c>
      <c r="Q18" s="5" t="s">
        <v>87</v>
      </c>
      <c r="R18" s="5" t="s">
        <v>88</v>
      </c>
      <c r="S18" s="5" t="s">
        <v>34</v>
      </c>
      <c r="T18" s="7" t="n">
        <v>2125</v>
      </c>
      <c r="U18" s="1" t="n">
        <v>0</v>
      </c>
      <c r="V18" s="8" t="n">
        <f aca="false">IF(L18&gt;0,L18,K18*T18/100)</f>
        <v>0</v>
      </c>
      <c r="W18" s="9" t="e">
        <f aca="false">EOMONTH(H18,0)-(WEEKDAY(EOMONTH(H18,0))-1)</f>
        <v>#VALUE!</v>
      </c>
    </row>
    <row r="19" customFormat="false" ht="15" hidden="false" customHeight="true" outlineLevel="0" collapsed="false">
      <c r="A19" s="1" t="n">
        <v>619</v>
      </c>
      <c r="B19" s="1" t="s">
        <v>23</v>
      </c>
      <c r="C19" s="1" t="s">
        <v>48</v>
      </c>
      <c r="D19" s="1" t="s">
        <v>83</v>
      </c>
      <c r="E19" s="4" t="n">
        <v>100</v>
      </c>
      <c r="F19" s="5" t="s">
        <v>54</v>
      </c>
      <c r="G19" s="5" t="s">
        <v>27</v>
      </c>
      <c r="H19" s="5" t="s">
        <v>28</v>
      </c>
      <c r="I19" s="5" t="s">
        <v>85</v>
      </c>
      <c r="J19" s="1" t="n">
        <v>100</v>
      </c>
      <c r="K19" s="1" t="n">
        <v>70</v>
      </c>
      <c r="M19" s="6" t="n">
        <v>45579</v>
      </c>
      <c r="N19" s="5" t="s">
        <v>86</v>
      </c>
      <c r="O19" s="5" t="s">
        <v>31</v>
      </c>
      <c r="Q19" s="5" t="s">
        <v>58</v>
      </c>
      <c r="R19" s="5" t="s">
        <v>89</v>
      </c>
      <c r="S19" s="5" t="s">
        <v>34</v>
      </c>
      <c r="T19" s="7" t="n">
        <v>93.5</v>
      </c>
      <c r="U19" s="1" t="n">
        <v>0</v>
      </c>
      <c r="V19" s="8" t="n">
        <f aca="false">IF(L19&gt;0,L19,K19*T19/100)</f>
        <v>65.45</v>
      </c>
      <c r="W19" s="9" t="e">
        <f aca="false">EOMONTH(H19,0)-(WEEKDAY(EOMONTH(H19,0))-1)</f>
        <v>#VALUE!</v>
      </c>
    </row>
    <row r="20" customFormat="false" ht="15" hidden="false" customHeight="true" outlineLevel="0" collapsed="false">
      <c r="A20" s="1" t="n">
        <v>621</v>
      </c>
      <c r="B20" s="1" t="s">
        <v>23</v>
      </c>
      <c r="C20" s="1" t="s">
        <v>37</v>
      </c>
      <c r="D20" s="1" t="s">
        <v>90</v>
      </c>
      <c r="E20" s="4" t="n">
        <v>100</v>
      </c>
      <c r="F20" s="5" t="s">
        <v>39</v>
      </c>
      <c r="G20" s="5" t="s">
        <v>27</v>
      </c>
      <c r="H20" s="5" t="s">
        <v>28</v>
      </c>
      <c r="I20" s="5" t="s">
        <v>91</v>
      </c>
      <c r="J20" s="1" t="n">
        <v>100</v>
      </c>
      <c r="K20" s="1" t="n">
        <v>77.5</v>
      </c>
      <c r="M20" s="6" t="n">
        <v>45579</v>
      </c>
      <c r="N20" s="5" t="s">
        <v>92</v>
      </c>
      <c r="O20" s="5" t="s">
        <v>31</v>
      </c>
      <c r="Q20" s="5" t="s">
        <v>46</v>
      </c>
      <c r="R20" s="5" t="s">
        <v>47</v>
      </c>
      <c r="S20" s="5" t="s">
        <v>34</v>
      </c>
      <c r="T20" s="7" t="n">
        <v>4680</v>
      </c>
      <c r="U20" s="1" t="n">
        <v>0</v>
      </c>
      <c r="V20" s="8" t="n">
        <f aca="false">IF(L20&gt;0,L20,K20*T20/100)</f>
        <v>3627</v>
      </c>
      <c r="W20" s="9" t="e">
        <f aca="false">EOMONTH(H20,0)-(WEEKDAY(EOMONTH(H20,0))-1)</f>
        <v>#VALUE!</v>
      </c>
    </row>
    <row r="21" customFormat="false" ht="15" hidden="false" customHeight="true" outlineLevel="0" collapsed="false">
      <c r="A21" s="1" t="n">
        <v>622</v>
      </c>
      <c r="B21" s="1" t="s">
        <v>23</v>
      </c>
      <c r="C21" s="1" t="s">
        <v>37</v>
      </c>
      <c r="D21" s="1" t="s">
        <v>90</v>
      </c>
      <c r="E21" s="4" t="n">
        <v>100</v>
      </c>
      <c r="F21" s="5" t="s">
        <v>39</v>
      </c>
      <c r="G21" s="5" t="s">
        <v>27</v>
      </c>
      <c r="H21" s="5" t="s">
        <v>28</v>
      </c>
      <c r="I21" s="5" t="s">
        <v>91</v>
      </c>
      <c r="J21" s="1" t="n">
        <v>100</v>
      </c>
      <c r="K21" s="1" t="n">
        <v>80</v>
      </c>
      <c r="M21" s="6" t="n">
        <v>45579</v>
      </c>
      <c r="N21" s="5" t="s">
        <v>92</v>
      </c>
      <c r="O21" s="5" t="s">
        <v>31</v>
      </c>
      <c r="Q21" s="5" t="s">
        <v>81</v>
      </c>
      <c r="R21" s="5" t="s">
        <v>82</v>
      </c>
      <c r="S21" s="5" t="s">
        <v>34</v>
      </c>
      <c r="T21" s="7" t="n">
        <v>3749.999999</v>
      </c>
      <c r="U21" s="1" t="n">
        <v>0</v>
      </c>
      <c r="V21" s="8" t="n">
        <f aca="false">IF(L21&gt;0,L21,K21*T21/100)</f>
        <v>2999.9999992</v>
      </c>
      <c r="W21" s="9" t="e">
        <f aca="false">EOMONTH(H21,0)-(WEEKDAY(EOMONTH(H21,0))-1)</f>
        <v>#VALUE!</v>
      </c>
    </row>
    <row r="22" customFormat="false" ht="15" hidden="false" customHeight="true" outlineLevel="0" collapsed="false">
      <c r="A22" s="1" t="n">
        <v>623</v>
      </c>
      <c r="B22" s="1" t="s">
        <v>23</v>
      </c>
      <c r="C22" s="1" t="s">
        <v>24</v>
      </c>
      <c r="D22" s="1" t="s">
        <v>93</v>
      </c>
      <c r="E22" s="4" t="n">
        <v>100</v>
      </c>
      <c r="F22" s="5" t="s">
        <v>94</v>
      </c>
      <c r="G22" s="5" t="s">
        <v>27</v>
      </c>
      <c r="H22" s="5" t="s">
        <v>84</v>
      </c>
      <c r="I22" s="5" t="s">
        <v>95</v>
      </c>
      <c r="J22" s="1" t="n">
        <v>100</v>
      </c>
      <c r="K22" s="1" t="n">
        <v>75</v>
      </c>
      <c r="M22" s="6" t="n">
        <v>45576</v>
      </c>
      <c r="N22" s="5" t="s">
        <v>96</v>
      </c>
      <c r="O22" s="5" t="s">
        <v>31</v>
      </c>
      <c r="Q22" s="5" t="s">
        <v>97</v>
      </c>
      <c r="R22" s="5" t="s">
        <v>97</v>
      </c>
      <c r="S22" s="5" t="s">
        <v>34</v>
      </c>
      <c r="T22" s="7" t="n">
        <v>2000</v>
      </c>
      <c r="U22" s="1" t="n">
        <v>26535</v>
      </c>
      <c r="V22" s="8" t="n">
        <f aca="false">IF(L22&gt;0,L22,K22*T22/100)</f>
        <v>1500</v>
      </c>
      <c r="W22" s="9" t="e">
        <f aca="false">EOMONTH(H22,0)-(WEEKDAY(EOMONTH(H22,0))-1)</f>
        <v>#VALUE!</v>
      </c>
    </row>
    <row r="23" customFormat="false" ht="15" hidden="false" customHeight="true" outlineLevel="0" collapsed="false">
      <c r="A23" s="1" t="n">
        <v>626</v>
      </c>
      <c r="B23" s="1" t="s">
        <v>23</v>
      </c>
      <c r="C23" s="1" t="s">
        <v>37</v>
      </c>
      <c r="D23" s="1" t="s">
        <v>98</v>
      </c>
      <c r="E23" s="4" t="n">
        <v>100</v>
      </c>
      <c r="F23" s="5" t="s">
        <v>99</v>
      </c>
      <c r="G23" s="5" t="s">
        <v>27</v>
      </c>
      <c r="H23" s="5" t="s">
        <v>28</v>
      </c>
      <c r="I23" s="5" t="s">
        <v>100</v>
      </c>
      <c r="J23" s="1" t="n">
        <v>100</v>
      </c>
      <c r="K23" s="1" t="n">
        <v>70</v>
      </c>
      <c r="M23" s="6" t="n">
        <v>45576</v>
      </c>
      <c r="N23" s="5" t="s">
        <v>101</v>
      </c>
      <c r="O23" s="5" t="s">
        <v>31</v>
      </c>
      <c r="Q23" s="5" t="s">
        <v>42</v>
      </c>
      <c r="R23" s="5" t="s">
        <v>43</v>
      </c>
      <c r="S23" s="5" t="s">
        <v>34</v>
      </c>
      <c r="T23" s="7" t="n">
        <v>425</v>
      </c>
      <c r="U23" s="1" t="n">
        <v>0</v>
      </c>
      <c r="V23" s="8" t="n">
        <f aca="false">IF(L23&gt;0,L23,K23*T23/100)</f>
        <v>297.5</v>
      </c>
      <c r="W23" s="9" t="e">
        <f aca="false">EOMONTH(H23,0)-(WEEKDAY(EOMONTH(H23,0))-1)</f>
        <v>#VALUE!</v>
      </c>
    </row>
    <row r="24" customFormat="false" ht="15" hidden="false" customHeight="true" outlineLevel="0" collapsed="false">
      <c r="A24" s="1" t="n">
        <v>627</v>
      </c>
      <c r="B24" s="1" t="s">
        <v>23</v>
      </c>
      <c r="C24" s="1" t="s">
        <v>37</v>
      </c>
      <c r="D24" s="1" t="s">
        <v>98</v>
      </c>
      <c r="E24" s="4" t="n">
        <v>100</v>
      </c>
      <c r="F24" s="5" t="s">
        <v>99</v>
      </c>
      <c r="G24" s="5" t="s">
        <v>27</v>
      </c>
      <c r="H24" s="5" t="s">
        <v>28</v>
      </c>
      <c r="I24" s="5" t="s">
        <v>102</v>
      </c>
      <c r="J24" s="1" t="n">
        <v>100</v>
      </c>
      <c r="K24" s="1" t="n">
        <v>71.5</v>
      </c>
      <c r="M24" s="6" t="n">
        <v>45576</v>
      </c>
      <c r="N24" s="5" t="s">
        <v>103</v>
      </c>
      <c r="O24" s="5" t="s">
        <v>31</v>
      </c>
      <c r="Q24" s="5" t="s">
        <v>104</v>
      </c>
      <c r="R24" s="5" t="s">
        <v>105</v>
      </c>
      <c r="S24" s="5" t="s">
        <v>34</v>
      </c>
      <c r="T24" s="7" t="n">
        <v>2550</v>
      </c>
      <c r="U24" s="1" t="n">
        <v>0</v>
      </c>
      <c r="V24" s="8" t="n">
        <f aca="false">IF(L24&gt;0,L24,K24*T24/100)</f>
        <v>1823.25</v>
      </c>
      <c r="W24" s="9" t="e">
        <f aca="false">EOMONTH(H24,0)-(WEEKDAY(EOMONTH(H24,0))-1)</f>
        <v>#VALUE!</v>
      </c>
    </row>
    <row r="25" customFormat="false" ht="15" hidden="false" customHeight="true" outlineLevel="0" collapsed="false">
      <c r="A25" s="1" t="n">
        <v>628</v>
      </c>
      <c r="B25" s="1" t="s">
        <v>23</v>
      </c>
      <c r="C25" s="1" t="s">
        <v>37</v>
      </c>
      <c r="D25" s="1" t="s">
        <v>98</v>
      </c>
      <c r="E25" s="4" t="n">
        <v>100</v>
      </c>
      <c r="F25" s="5" t="s">
        <v>99</v>
      </c>
      <c r="G25" s="5" t="s">
        <v>27</v>
      </c>
      <c r="H25" s="5" t="s">
        <v>28</v>
      </c>
      <c r="I25" s="5" t="s">
        <v>106</v>
      </c>
      <c r="J25" s="1" t="n">
        <v>100</v>
      </c>
      <c r="K25" s="1" t="n">
        <v>77.5</v>
      </c>
      <c r="M25" s="6" t="n">
        <v>45576</v>
      </c>
      <c r="N25" s="5" t="s">
        <v>107</v>
      </c>
      <c r="O25" s="5" t="s">
        <v>31</v>
      </c>
      <c r="Q25" s="5" t="s">
        <v>46</v>
      </c>
      <c r="R25" s="5" t="s">
        <v>47</v>
      </c>
      <c r="S25" s="5" t="s">
        <v>34</v>
      </c>
      <c r="T25" s="7" t="n">
        <v>4250</v>
      </c>
      <c r="U25" s="1" t="n">
        <v>0</v>
      </c>
      <c r="V25" s="8" t="n">
        <f aca="false">IF(L25&gt;0,L25,K25*T25/100)</f>
        <v>3293.75</v>
      </c>
      <c r="W25" s="9" t="e">
        <f aca="false">EOMONTH(H25,0)-(WEEKDAY(EOMONTH(H25,0))-1)</f>
        <v>#VALUE!</v>
      </c>
    </row>
    <row r="26" customFormat="false" ht="15" hidden="false" customHeight="true" outlineLevel="0" collapsed="false">
      <c r="A26" s="1" t="n">
        <v>911</v>
      </c>
      <c r="B26" s="1" t="s">
        <v>23</v>
      </c>
      <c r="C26" s="1" t="s">
        <v>37</v>
      </c>
      <c r="D26" s="1" t="s">
        <v>108</v>
      </c>
      <c r="E26" s="4" t="n">
        <v>100</v>
      </c>
      <c r="F26" s="5" t="s">
        <v>39</v>
      </c>
      <c r="G26" s="5" t="s">
        <v>27</v>
      </c>
      <c r="H26" s="5" t="s">
        <v>84</v>
      </c>
      <c r="I26" s="5" t="s">
        <v>109</v>
      </c>
      <c r="J26" s="1" t="n">
        <v>100</v>
      </c>
      <c r="K26" s="1" t="n">
        <v>60</v>
      </c>
      <c r="M26" s="6" t="n">
        <v>45575</v>
      </c>
      <c r="N26" s="5" t="s">
        <v>110</v>
      </c>
      <c r="O26" s="5" t="s">
        <v>31</v>
      </c>
      <c r="Q26" s="5" t="s">
        <v>111</v>
      </c>
      <c r="R26" s="5" t="s">
        <v>112</v>
      </c>
      <c r="S26" s="5" t="s">
        <v>34</v>
      </c>
      <c r="T26" s="7" t="n">
        <v>4687.5</v>
      </c>
      <c r="U26" s="1" t="n">
        <v>116954.999999</v>
      </c>
      <c r="V26" s="8" t="n">
        <f aca="false">IF(L26&gt;0,L26,K26*T26/100)</f>
        <v>2812.5</v>
      </c>
      <c r="W26" s="9" t="e">
        <f aca="false">EOMONTH(H26,0)-(WEEKDAY(EOMONTH(H26,0))-1)</f>
        <v>#VALUE!</v>
      </c>
    </row>
    <row r="27" customFormat="false" ht="15" hidden="false" customHeight="true" outlineLevel="0" collapsed="false">
      <c r="A27" s="1" t="n">
        <v>912</v>
      </c>
      <c r="B27" s="1" t="s">
        <v>23</v>
      </c>
      <c r="C27" s="1" t="s">
        <v>37</v>
      </c>
      <c r="D27" s="1" t="s">
        <v>108</v>
      </c>
      <c r="E27" s="4" t="n">
        <v>100</v>
      </c>
      <c r="F27" s="5" t="s">
        <v>39</v>
      </c>
      <c r="G27" s="5" t="s">
        <v>27</v>
      </c>
      <c r="H27" s="5" t="s">
        <v>84</v>
      </c>
      <c r="I27" s="5" t="s">
        <v>109</v>
      </c>
      <c r="J27" s="1" t="n">
        <v>100</v>
      </c>
      <c r="K27" s="1" t="n">
        <v>70</v>
      </c>
      <c r="M27" s="6" t="n">
        <v>45575</v>
      </c>
      <c r="N27" s="5" t="s">
        <v>110</v>
      </c>
      <c r="O27" s="5" t="s">
        <v>31</v>
      </c>
      <c r="Q27" s="5" t="s">
        <v>113</v>
      </c>
      <c r="R27" s="5" t="s">
        <v>114</v>
      </c>
      <c r="S27" s="5" t="s">
        <v>34</v>
      </c>
      <c r="T27" s="7" t="n">
        <v>150</v>
      </c>
      <c r="U27" s="1" t="n">
        <v>1501</v>
      </c>
      <c r="V27" s="8" t="n">
        <f aca="false">IF(L27&gt;0,L27,K27*T27/100)</f>
        <v>105</v>
      </c>
      <c r="W27" s="9" t="e">
        <f aca="false">EOMONTH(H27,0)-(WEEKDAY(EOMONTH(H27,0))-1)</f>
        <v>#VALUE!</v>
      </c>
    </row>
    <row r="28" customFormat="false" ht="15" hidden="false" customHeight="true" outlineLevel="0" collapsed="false">
      <c r="A28" s="1" t="n">
        <v>913</v>
      </c>
      <c r="B28" s="1" t="s">
        <v>23</v>
      </c>
      <c r="C28" s="1" t="s">
        <v>37</v>
      </c>
      <c r="D28" s="1" t="s">
        <v>108</v>
      </c>
      <c r="E28" s="4" t="n">
        <v>100</v>
      </c>
      <c r="F28" s="5" t="s">
        <v>39</v>
      </c>
      <c r="G28" s="5" t="s">
        <v>27</v>
      </c>
      <c r="H28" s="5" t="s">
        <v>84</v>
      </c>
      <c r="I28" s="5" t="s">
        <v>109</v>
      </c>
      <c r="J28" s="1" t="n">
        <v>100</v>
      </c>
      <c r="K28" s="1" t="n">
        <v>70</v>
      </c>
      <c r="M28" s="6" t="n">
        <v>45575</v>
      </c>
      <c r="N28" s="5" t="s">
        <v>110</v>
      </c>
      <c r="O28" s="5" t="s">
        <v>31</v>
      </c>
      <c r="Q28" s="5" t="s">
        <v>115</v>
      </c>
      <c r="R28" s="5" t="s">
        <v>116</v>
      </c>
      <c r="S28" s="5" t="s">
        <v>34</v>
      </c>
      <c r="T28" s="7" t="n">
        <v>46.88</v>
      </c>
      <c r="U28" s="1" t="n">
        <v>1580</v>
      </c>
      <c r="V28" s="8" t="n">
        <f aca="false">IF(L28&gt;0,L28,K28*T28/100)</f>
        <v>32.816</v>
      </c>
      <c r="W28" s="9" t="e">
        <f aca="false">EOMONTH(H28,0)-(WEEKDAY(EOMONTH(H28,0))-1)</f>
        <v>#VALUE!</v>
      </c>
    </row>
    <row r="29" customFormat="false" ht="15" hidden="false" customHeight="true" outlineLevel="0" collapsed="false">
      <c r="A29" s="1" t="n">
        <v>914</v>
      </c>
      <c r="B29" s="1" t="s">
        <v>23</v>
      </c>
      <c r="C29" s="1" t="s">
        <v>37</v>
      </c>
      <c r="D29" s="1" t="s">
        <v>108</v>
      </c>
      <c r="E29" s="4" t="n">
        <v>100</v>
      </c>
      <c r="F29" s="5" t="s">
        <v>39</v>
      </c>
      <c r="G29" s="5" t="s">
        <v>27</v>
      </c>
      <c r="H29" s="5" t="s">
        <v>84</v>
      </c>
      <c r="I29" s="5" t="s">
        <v>109</v>
      </c>
      <c r="J29" s="1" t="n">
        <v>100</v>
      </c>
      <c r="K29" s="1" t="n">
        <v>70</v>
      </c>
      <c r="M29" s="6" t="n">
        <v>45575</v>
      </c>
      <c r="N29" s="5" t="s">
        <v>110</v>
      </c>
      <c r="O29" s="5" t="s">
        <v>31</v>
      </c>
      <c r="Q29" s="5" t="s">
        <v>44</v>
      </c>
      <c r="R29" s="5" t="s">
        <v>45</v>
      </c>
      <c r="S29" s="5" t="s">
        <v>34</v>
      </c>
      <c r="T29" s="7" t="n">
        <v>187.5</v>
      </c>
      <c r="U29" s="1" t="n">
        <v>2559</v>
      </c>
      <c r="V29" s="8" t="n">
        <f aca="false">IF(L29&gt;0,L29,K29*T29/100)</f>
        <v>131.25</v>
      </c>
      <c r="W29" s="9" t="e">
        <f aca="false">EOMONTH(H29,0)-(WEEKDAY(EOMONTH(H29,0))-1)</f>
        <v>#VALUE!</v>
      </c>
    </row>
    <row r="30" customFormat="false" ht="15" hidden="false" customHeight="true" outlineLevel="0" collapsed="false">
      <c r="A30" s="1" t="n">
        <v>915</v>
      </c>
      <c r="B30" s="1" t="s">
        <v>23</v>
      </c>
      <c r="C30" s="1" t="s">
        <v>37</v>
      </c>
      <c r="D30" s="1" t="s">
        <v>108</v>
      </c>
      <c r="E30" s="4" t="n">
        <v>100</v>
      </c>
      <c r="F30" s="5" t="s">
        <v>39</v>
      </c>
      <c r="G30" s="5" t="s">
        <v>27</v>
      </c>
      <c r="H30" s="5" t="s">
        <v>84</v>
      </c>
      <c r="I30" s="5" t="s">
        <v>109</v>
      </c>
      <c r="J30" s="1" t="n">
        <v>100</v>
      </c>
      <c r="K30" s="1" t="n">
        <v>71.5</v>
      </c>
      <c r="M30" s="6" t="n">
        <v>45575</v>
      </c>
      <c r="N30" s="5" t="s">
        <v>110</v>
      </c>
      <c r="O30" s="5" t="s">
        <v>31</v>
      </c>
      <c r="Q30" s="5" t="s">
        <v>104</v>
      </c>
      <c r="R30" s="5" t="s">
        <v>117</v>
      </c>
      <c r="S30" s="5" t="s">
        <v>34</v>
      </c>
      <c r="T30" s="7" t="n">
        <v>900</v>
      </c>
      <c r="U30" s="1" t="n">
        <v>0</v>
      </c>
      <c r="V30" s="8" t="n">
        <f aca="false">IF(L30&gt;0,L30,K30*T30/100)</f>
        <v>643.5</v>
      </c>
      <c r="W30" s="9" t="e">
        <f aca="false">EOMONTH(H30,0)-(WEEKDAY(EOMONTH(H30,0))-1)</f>
        <v>#VALUE!</v>
      </c>
    </row>
    <row r="31" customFormat="false" ht="15" hidden="false" customHeight="true" outlineLevel="0" collapsed="false">
      <c r="A31" s="1" t="n">
        <v>916</v>
      </c>
      <c r="B31" s="1" t="s">
        <v>23</v>
      </c>
      <c r="C31" s="1" t="s">
        <v>37</v>
      </c>
      <c r="D31" s="1" t="s">
        <v>108</v>
      </c>
      <c r="E31" s="4" t="n">
        <v>100</v>
      </c>
      <c r="F31" s="5" t="s">
        <v>39</v>
      </c>
      <c r="G31" s="5" t="s">
        <v>27</v>
      </c>
      <c r="H31" s="5" t="s">
        <v>84</v>
      </c>
      <c r="I31" s="5" t="s">
        <v>109</v>
      </c>
      <c r="J31" s="1" t="n">
        <v>100</v>
      </c>
      <c r="K31" s="1" t="n">
        <v>71.5</v>
      </c>
      <c r="M31" s="6" t="n">
        <v>45575</v>
      </c>
      <c r="N31" s="5" t="s">
        <v>110</v>
      </c>
      <c r="O31" s="5" t="s">
        <v>31</v>
      </c>
      <c r="Q31" s="5" t="s">
        <v>104</v>
      </c>
      <c r="R31" s="5" t="s">
        <v>118</v>
      </c>
      <c r="S31" s="5" t="s">
        <v>34</v>
      </c>
      <c r="T31" s="7" t="n">
        <v>130.95238</v>
      </c>
      <c r="U31" s="1" t="n">
        <v>0</v>
      </c>
      <c r="V31" s="8" t="n">
        <f aca="false">IF(L31&gt;0,L31,K31*T31/100)</f>
        <v>93.6309517</v>
      </c>
      <c r="W31" s="9" t="e">
        <f aca="false">EOMONTH(H31,0)-(WEEKDAY(EOMONTH(H31,0))-1)</f>
        <v>#VALUE!</v>
      </c>
    </row>
    <row r="32" customFormat="false" ht="15" hidden="false" customHeight="true" outlineLevel="0" collapsed="false">
      <c r="A32" s="1" t="n">
        <v>924</v>
      </c>
      <c r="B32" s="1" t="s">
        <v>23</v>
      </c>
      <c r="C32" s="1" t="s">
        <v>37</v>
      </c>
      <c r="D32" s="1" t="s">
        <v>108</v>
      </c>
      <c r="E32" s="4" t="n">
        <v>100</v>
      </c>
      <c r="F32" s="5" t="s">
        <v>39</v>
      </c>
      <c r="G32" s="5" t="s">
        <v>27</v>
      </c>
      <c r="H32" s="5" t="s">
        <v>28</v>
      </c>
      <c r="I32" s="5" t="s">
        <v>109</v>
      </c>
      <c r="J32" s="1" t="n">
        <v>100</v>
      </c>
      <c r="K32" s="1" t="n">
        <v>70</v>
      </c>
      <c r="M32" s="6" t="n">
        <v>45575</v>
      </c>
      <c r="N32" s="5" t="s">
        <v>110</v>
      </c>
      <c r="O32" s="5" t="s">
        <v>31</v>
      </c>
      <c r="Q32" s="5" t="s">
        <v>113</v>
      </c>
      <c r="R32" s="5" t="s">
        <v>114</v>
      </c>
      <c r="S32" s="5" t="s">
        <v>34</v>
      </c>
      <c r="T32" s="7" t="n">
        <v>150</v>
      </c>
      <c r="U32" s="1" t="n">
        <v>0</v>
      </c>
      <c r="V32" s="8" t="n">
        <f aca="false">IF(L32&gt;0,L32,K32*T32/100)</f>
        <v>105</v>
      </c>
      <c r="W32" s="9" t="e">
        <f aca="false">EOMONTH(H32,0)-(WEEKDAY(EOMONTH(H32,0))-1)</f>
        <v>#VALUE!</v>
      </c>
    </row>
    <row r="33" customFormat="false" ht="15" hidden="false" customHeight="true" outlineLevel="0" collapsed="false">
      <c r="A33" s="1" t="n">
        <v>925</v>
      </c>
      <c r="B33" s="1" t="s">
        <v>23</v>
      </c>
      <c r="C33" s="1" t="s">
        <v>37</v>
      </c>
      <c r="D33" s="1" t="s">
        <v>108</v>
      </c>
      <c r="E33" s="4" t="n">
        <v>100</v>
      </c>
      <c r="F33" s="5" t="s">
        <v>39</v>
      </c>
      <c r="G33" s="5" t="s">
        <v>27</v>
      </c>
      <c r="H33" s="5" t="s">
        <v>28</v>
      </c>
      <c r="I33" s="5" t="s">
        <v>109</v>
      </c>
      <c r="J33" s="1" t="n">
        <v>100</v>
      </c>
      <c r="K33" s="1" t="n">
        <v>70</v>
      </c>
      <c r="M33" s="6" t="n">
        <v>45575</v>
      </c>
      <c r="N33" s="5" t="s">
        <v>110</v>
      </c>
      <c r="O33" s="5" t="s">
        <v>31</v>
      </c>
      <c r="Q33" s="5" t="s">
        <v>115</v>
      </c>
      <c r="R33" s="5" t="s">
        <v>116</v>
      </c>
      <c r="S33" s="5" t="s">
        <v>34</v>
      </c>
      <c r="T33" s="7" t="n">
        <v>46.88</v>
      </c>
      <c r="U33" s="1" t="n">
        <v>0</v>
      </c>
      <c r="V33" s="8" t="n">
        <f aca="false">IF(L33&gt;0,L33,K33*T33/100)</f>
        <v>32.816</v>
      </c>
      <c r="W33" s="9" t="e">
        <f aca="false">EOMONTH(H33,0)-(WEEKDAY(EOMONTH(H33,0))-1)</f>
        <v>#VALUE!</v>
      </c>
    </row>
    <row r="34" customFormat="false" ht="15" hidden="false" customHeight="true" outlineLevel="0" collapsed="false">
      <c r="A34" s="1" t="n">
        <v>926</v>
      </c>
      <c r="B34" s="1" t="s">
        <v>23</v>
      </c>
      <c r="C34" s="1" t="s">
        <v>37</v>
      </c>
      <c r="D34" s="1" t="s">
        <v>108</v>
      </c>
      <c r="E34" s="4" t="n">
        <v>100</v>
      </c>
      <c r="F34" s="5" t="s">
        <v>39</v>
      </c>
      <c r="G34" s="5" t="s">
        <v>27</v>
      </c>
      <c r="H34" s="5" t="s">
        <v>28</v>
      </c>
      <c r="I34" s="5" t="s">
        <v>109</v>
      </c>
      <c r="J34" s="1" t="n">
        <v>100</v>
      </c>
      <c r="K34" s="1" t="n">
        <v>70</v>
      </c>
      <c r="M34" s="6" t="n">
        <v>45575</v>
      </c>
      <c r="N34" s="5" t="s">
        <v>110</v>
      </c>
      <c r="O34" s="5" t="s">
        <v>31</v>
      </c>
      <c r="Q34" s="5" t="s">
        <v>44</v>
      </c>
      <c r="R34" s="5" t="s">
        <v>45</v>
      </c>
      <c r="S34" s="5" t="s">
        <v>34</v>
      </c>
      <c r="T34" s="7" t="n">
        <v>187.5</v>
      </c>
      <c r="U34" s="1" t="n">
        <v>0</v>
      </c>
      <c r="V34" s="8" t="n">
        <f aca="false">IF(L34&gt;0,L34,K34*T34/100)</f>
        <v>131.25</v>
      </c>
      <c r="W34" s="9" t="e">
        <f aca="false">EOMONTH(H34,0)-(WEEKDAY(EOMONTH(H34,0))-1)</f>
        <v>#VALUE!</v>
      </c>
    </row>
    <row r="35" customFormat="false" ht="15" hidden="false" customHeight="true" outlineLevel="0" collapsed="false">
      <c r="A35" s="1" t="n">
        <v>927</v>
      </c>
      <c r="B35" s="1" t="s">
        <v>23</v>
      </c>
      <c r="C35" s="1" t="s">
        <v>37</v>
      </c>
      <c r="D35" s="1" t="s">
        <v>108</v>
      </c>
      <c r="E35" s="4" t="n">
        <v>100</v>
      </c>
      <c r="F35" s="5" t="s">
        <v>39</v>
      </c>
      <c r="G35" s="5" t="s">
        <v>27</v>
      </c>
      <c r="H35" s="5" t="s">
        <v>28</v>
      </c>
      <c r="I35" s="5" t="s">
        <v>109</v>
      </c>
      <c r="J35" s="1" t="n">
        <v>100</v>
      </c>
      <c r="K35" s="1" t="n">
        <v>71.5</v>
      </c>
      <c r="M35" s="6" t="n">
        <v>45575</v>
      </c>
      <c r="N35" s="5" t="s">
        <v>110</v>
      </c>
      <c r="O35" s="5" t="s">
        <v>31</v>
      </c>
      <c r="Q35" s="5" t="s">
        <v>104</v>
      </c>
      <c r="R35" s="5" t="s">
        <v>117</v>
      </c>
      <c r="S35" s="5" t="s">
        <v>34</v>
      </c>
      <c r="T35" s="7" t="n">
        <v>900</v>
      </c>
      <c r="U35" s="1" t="n">
        <v>0</v>
      </c>
      <c r="V35" s="8" t="n">
        <f aca="false">IF(L35&gt;0,L35,K35*T35/100)</f>
        <v>643.5</v>
      </c>
      <c r="W35" s="9" t="e">
        <f aca="false">EOMONTH(H35,0)-(WEEKDAY(EOMONTH(H35,0))-1)</f>
        <v>#VALUE!</v>
      </c>
    </row>
    <row r="36" customFormat="false" ht="15" hidden="false" customHeight="true" outlineLevel="0" collapsed="false">
      <c r="A36" s="1" t="n">
        <v>928</v>
      </c>
      <c r="B36" s="1" t="s">
        <v>23</v>
      </c>
      <c r="C36" s="1" t="s">
        <v>37</v>
      </c>
      <c r="D36" s="1" t="s">
        <v>108</v>
      </c>
      <c r="E36" s="4" t="n">
        <v>100</v>
      </c>
      <c r="F36" s="5" t="s">
        <v>39</v>
      </c>
      <c r="G36" s="5" t="s">
        <v>27</v>
      </c>
      <c r="H36" s="5" t="s">
        <v>28</v>
      </c>
      <c r="I36" s="5" t="s">
        <v>109</v>
      </c>
      <c r="J36" s="1" t="n">
        <v>100</v>
      </c>
      <c r="K36" s="1" t="n">
        <v>71.5</v>
      </c>
      <c r="M36" s="6" t="n">
        <v>45575</v>
      </c>
      <c r="N36" s="5" t="s">
        <v>110</v>
      </c>
      <c r="O36" s="5" t="s">
        <v>31</v>
      </c>
      <c r="Q36" s="5" t="s">
        <v>104</v>
      </c>
      <c r="R36" s="5" t="s">
        <v>118</v>
      </c>
      <c r="S36" s="5" t="s">
        <v>34</v>
      </c>
      <c r="T36" s="7" t="n">
        <v>1011.904762</v>
      </c>
      <c r="U36" s="1" t="n">
        <v>0</v>
      </c>
      <c r="V36" s="8" t="n">
        <f aca="false">IF(L36&gt;0,L36,K36*T36/100)</f>
        <v>723.51190483</v>
      </c>
      <c r="W36" s="9" t="e">
        <f aca="false">EOMONTH(H36,0)-(WEEKDAY(EOMONTH(H36,0))-1)</f>
        <v>#VALUE!</v>
      </c>
    </row>
    <row r="37" customFormat="false" ht="15" hidden="false" customHeight="true" outlineLevel="0" collapsed="false">
      <c r="A37" s="1" t="n">
        <v>929</v>
      </c>
      <c r="B37" s="1" t="s">
        <v>23</v>
      </c>
      <c r="C37" s="1" t="s">
        <v>37</v>
      </c>
      <c r="D37" s="1" t="s">
        <v>108</v>
      </c>
      <c r="E37" s="4" t="n">
        <v>100</v>
      </c>
      <c r="F37" s="5" t="s">
        <v>39</v>
      </c>
      <c r="G37" s="5" t="s">
        <v>27</v>
      </c>
      <c r="H37" s="5" t="s">
        <v>28</v>
      </c>
      <c r="I37" s="5" t="s">
        <v>109</v>
      </c>
      <c r="J37" s="1" t="n">
        <v>100</v>
      </c>
      <c r="K37" s="1" t="n">
        <v>75</v>
      </c>
      <c r="M37" s="6" t="n">
        <v>45575</v>
      </c>
      <c r="N37" s="5" t="s">
        <v>110</v>
      </c>
      <c r="O37" s="5" t="s">
        <v>31</v>
      </c>
      <c r="Q37" s="5" t="s">
        <v>119</v>
      </c>
      <c r="R37" s="5" t="s">
        <v>120</v>
      </c>
      <c r="S37" s="5" t="s">
        <v>34</v>
      </c>
      <c r="T37" s="7" t="n">
        <v>90</v>
      </c>
      <c r="U37" s="1" t="n">
        <v>0</v>
      </c>
      <c r="V37" s="8" t="n">
        <f aca="false">IF(L37&gt;0,L37,K37*T37/100)</f>
        <v>67.5</v>
      </c>
      <c r="W37" s="9" t="e">
        <f aca="false">EOMONTH(H37,0)-(WEEKDAY(EOMONTH(H37,0))-1)</f>
        <v>#VALUE!</v>
      </c>
    </row>
    <row r="38" customFormat="false" ht="15" hidden="false" customHeight="true" outlineLevel="0" collapsed="false">
      <c r="A38" s="1" t="n">
        <v>930</v>
      </c>
      <c r="B38" s="1" t="s">
        <v>23</v>
      </c>
      <c r="C38" s="1" t="s">
        <v>48</v>
      </c>
      <c r="D38" s="1" t="s">
        <v>121</v>
      </c>
      <c r="E38" s="4" t="n">
        <v>100</v>
      </c>
      <c r="F38" s="5" t="s">
        <v>122</v>
      </c>
      <c r="G38" s="5" t="s">
        <v>27</v>
      </c>
      <c r="H38" s="5" t="s">
        <v>84</v>
      </c>
      <c r="I38" s="5" t="s">
        <v>123</v>
      </c>
      <c r="J38" s="1" t="n">
        <v>100</v>
      </c>
      <c r="K38" s="1" t="n">
        <v>70</v>
      </c>
      <c r="M38" s="6" t="n">
        <v>45572</v>
      </c>
      <c r="N38" s="5" t="s">
        <v>124</v>
      </c>
      <c r="O38" s="5" t="s">
        <v>31</v>
      </c>
      <c r="Q38" s="5" t="s">
        <v>125</v>
      </c>
      <c r="R38" s="5" t="s">
        <v>126</v>
      </c>
      <c r="S38" s="5" t="s">
        <v>34</v>
      </c>
      <c r="T38" s="7" t="n">
        <v>12.5</v>
      </c>
      <c r="U38" s="1" t="n">
        <v>1590</v>
      </c>
      <c r="V38" s="8" t="n">
        <f aca="false">IF(L38&gt;0,L38,K38*T38/100)</f>
        <v>8.75</v>
      </c>
      <c r="W38" s="9" t="e">
        <f aca="false">EOMONTH(H38,0)-(WEEKDAY(EOMONTH(H38,0))-1)</f>
        <v>#VALUE!</v>
      </c>
    </row>
    <row r="39" customFormat="false" ht="15" hidden="false" customHeight="true" outlineLevel="0" collapsed="false">
      <c r="A39" s="1" t="n">
        <v>931</v>
      </c>
      <c r="B39" s="1" t="s">
        <v>23</v>
      </c>
      <c r="C39" s="1" t="s">
        <v>48</v>
      </c>
      <c r="D39" s="1" t="s">
        <v>121</v>
      </c>
      <c r="E39" s="4" t="n">
        <v>100</v>
      </c>
      <c r="F39" s="5" t="s">
        <v>122</v>
      </c>
      <c r="G39" s="5" t="s">
        <v>27</v>
      </c>
      <c r="H39" s="5" t="s">
        <v>84</v>
      </c>
      <c r="I39" s="5" t="s">
        <v>123</v>
      </c>
      <c r="J39" s="1" t="n">
        <v>100</v>
      </c>
      <c r="K39" s="1" t="n">
        <v>70</v>
      </c>
      <c r="M39" s="6" t="n">
        <v>45572</v>
      </c>
      <c r="N39" s="5" t="s">
        <v>124</v>
      </c>
      <c r="O39" s="5" t="s">
        <v>31</v>
      </c>
      <c r="Q39" s="5" t="s">
        <v>57</v>
      </c>
      <c r="R39" s="5" t="s">
        <v>57</v>
      </c>
      <c r="S39" s="5" t="s">
        <v>34</v>
      </c>
      <c r="T39" s="7" t="n">
        <v>100</v>
      </c>
      <c r="U39" s="1" t="n">
        <v>11983</v>
      </c>
      <c r="V39" s="8" t="n">
        <f aca="false">IF(L39&gt;0,L39,K39*T39/100)</f>
        <v>70</v>
      </c>
      <c r="W39" s="9" t="e">
        <f aca="false">EOMONTH(H39,0)-(WEEKDAY(EOMONTH(H39,0))-1)</f>
        <v>#VALUE!</v>
      </c>
    </row>
    <row r="40" customFormat="false" ht="15" hidden="false" customHeight="true" outlineLevel="0" collapsed="false">
      <c r="A40" s="1" t="n">
        <v>932</v>
      </c>
      <c r="B40" s="1" t="s">
        <v>23</v>
      </c>
      <c r="C40" s="1" t="s">
        <v>48</v>
      </c>
      <c r="D40" s="1" t="s">
        <v>121</v>
      </c>
      <c r="E40" s="4" t="n">
        <v>100</v>
      </c>
      <c r="F40" s="5" t="s">
        <v>122</v>
      </c>
      <c r="G40" s="5" t="s">
        <v>27</v>
      </c>
      <c r="H40" s="5" t="s">
        <v>84</v>
      </c>
      <c r="I40" s="5" t="s">
        <v>123</v>
      </c>
      <c r="J40" s="1" t="n">
        <v>100</v>
      </c>
      <c r="K40" s="1" t="n">
        <v>70</v>
      </c>
      <c r="M40" s="6" t="n">
        <v>45572</v>
      </c>
      <c r="N40" s="5" t="s">
        <v>124</v>
      </c>
      <c r="O40" s="5" t="s">
        <v>31</v>
      </c>
      <c r="Q40" s="5" t="s">
        <v>127</v>
      </c>
      <c r="R40" s="5" t="s">
        <v>127</v>
      </c>
      <c r="S40" s="5" t="s">
        <v>34</v>
      </c>
      <c r="T40" s="7" t="n">
        <v>1000</v>
      </c>
      <c r="U40" s="1" t="n">
        <v>61138</v>
      </c>
      <c r="V40" s="8" t="n">
        <f aca="false">IF(L40&gt;0,L40,K40*T40/100)</f>
        <v>700</v>
      </c>
      <c r="W40" s="9" t="e">
        <f aca="false">EOMONTH(H40,0)-(WEEKDAY(EOMONTH(H40,0))-1)</f>
        <v>#VALUE!</v>
      </c>
    </row>
    <row r="41" customFormat="false" ht="15" hidden="false" customHeight="true" outlineLevel="0" collapsed="false">
      <c r="A41" s="1" t="n">
        <v>933</v>
      </c>
      <c r="B41" s="1" t="s">
        <v>23</v>
      </c>
      <c r="C41" s="1" t="s">
        <v>48</v>
      </c>
      <c r="D41" s="1" t="s">
        <v>121</v>
      </c>
      <c r="E41" s="4" t="n">
        <v>100</v>
      </c>
      <c r="F41" s="5" t="s">
        <v>122</v>
      </c>
      <c r="G41" s="5" t="s">
        <v>27</v>
      </c>
      <c r="H41" s="5" t="s">
        <v>84</v>
      </c>
      <c r="I41" s="5" t="s">
        <v>123</v>
      </c>
      <c r="J41" s="1" t="n">
        <v>100</v>
      </c>
      <c r="K41" s="1" t="n">
        <v>70</v>
      </c>
      <c r="M41" s="6" t="n">
        <v>45572</v>
      </c>
      <c r="N41" s="5" t="s">
        <v>124</v>
      </c>
      <c r="O41" s="5" t="s">
        <v>31</v>
      </c>
      <c r="Q41" s="5" t="s">
        <v>71</v>
      </c>
      <c r="R41" s="5" t="s">
        <v>72</v>
      </c>
      <c r="S41" s="5" t="s">
        <v>34</v>
      </c>
      <c r="T41" s="7" t="n">
        <v>100</v>
      </c>
      <c r="U41" s="1" t="n">
        <v>7756</v>
      </c>
      <c r="V41" s="8" t="n">
        <f aca="false">IF(L41&gt;0,L41,K41*T41/100)</f>
        <v>70</v>
      </c>
      <c r="W41" s="9" t="e">
        <f aca="false">EOMONTH(H41,0)-(WEEKDAY(EOMONTH(H41,0))-1)</f>
        <v>#VALUE!</v>
      </c>
    </row>
    <row r="42" customFormat="false" ht="15" hidden="false" customHeight="true" outlineLevel="0" collapsed="false">
      <c r="A42" s="1" t="n">
        <v>934</v>
      </c>
      <c r="B42" s="1" t="s">
        <v>23</v>
      </c>
      <c r="C42" s="1" t="s">
        <v>48</v>
      </c>
      <c r="D42" s="1" t="s">
        <v>121</v>
      </c>
      <c r="E42" s="4" t="n">
        <v>100</v>
      </c>
      <c r="F42" s="5" t="s">
        <v>122</v>
      </c>
      <c r="G42" s="5" t="s">
        <v>27</v>
      </c>
      <c r="H42" s="5" t="s">
        <v>84</v>
      </c>
      <c r="I42" s="5" t="s">
        <v>123</v>
      </c>
      <c r="J42" s="1" t="n">
        <v>100</v>
      </c>
      <c r="K42" s="1" t="n">
        <v>75</v>
      </c>
      <c r="M42" s="6" t="n">
        <v>45572</v>
      </c>
      <c r="N42" s="5" t="s">
        <v>124</v>
      </c>
      <c r="O42" s="5" t="s">
        <v>31</v>
      </c>
      <c r="Q42" s="5" t="s">
        <v>128</v>
      </c>
      <c r="R42" s="5" t="s">
        <v>129</v>
      </c>
      <c r="S42" s="5" t="s">
        <v>34</v>
      </c>
      <c r="T42" s="7" t="n">
        <v>7.5</v>
      </c>
      <c r="U42" s="1" t="n">
        <v>1163</v>
      </c>
      <c r="V42" s="8" t="n">
        <f aca="false">IF(L42&gt;0,L42,K42*T42/100)</f>
        <v>5.625</v>
      </c>
      <c r="W42" s="9" t="e">
        <f aca="false">EOMONTH(H42,0)-(WEEKDAY(EOMONTH(H42,0))-1)</f>
        <v>#VALUE!</v>
      </c>
    </row>
    <row r="43" customFormat="false" ht="15" hidden="false" customHeight="true" outlineLevel="0" collapsed="false">
      <c r="A43" s="1" t="n">
        <v>935</v>
      </c>
      <c r="B43" s="1" t="s">
        <v>23</v>
      </c>
      <c r="C43" s="1" t="s">
        <v>48</v>
      </c>
      <c r="D43" s="1" t="s">
        <v>121</v>
      </c>
      <c r="E43" s="4" t="n">
        <v>100</v>
      </c>
      <c r="F43" s="5" t="s">
        <v>122</v>
      </c>
      <c r="G43" s="5" t="s">
        <v>27</v>
      </c>
      <c r="H43" s="5" t="s">
        <v>84</v>
      </c>
      <c r="I43" s="5" t="s">
        <v>123</v>
      </c>
      <c r="J43" s="1" t="n">
        <v>100</v>
      </c>
      <c r="K43" s="1" t="n">
        <v>77.5</v>
      </c>
      <c r="M43" s="6" t="n">
        <v>45572</v>
      </c>
      <c r="N43" s="5" t="s">
        <v>124</v>
      </c>
      <c r="O43" s="5" t="s">
        <v>31</v>
      </c>
      <c r="Q43" s="5" t="s">
        <v>130</v>
      </c>
      <c r="R43" s="5" t="s">
        <v>131</v>
      </c>
      <c r="S43" s="5" t="s">
        <v>34</v>
      </c>
      <c r="T43" s="7" t="n">
        <v>450</v>
      </c>
      <c r="U43" s="1" t="n">
        <v>33983</v>
      </c>
      <c r="V43" s="8" t="n">
        <f aca="false">IF(L43&gt;0,L43,K43*T43/100)</f>
        <v>348.75</v>
      </c>
      <c r="W43" s="9" t="e">
        <f aca="false">EOMONTH(H43,0)-(WEEKDAY(EOMONTH(H43,0))-1)</f>
        <v>#VALUE!</v>
      </c>
    </row>
    <row r="44" customFormat="false" ht="15" hidden="false" customHeight="true" outlineLevel="0" collapsed="false">
      <c r="A44" s="1" t="n">
        <v>936</v>
      </c>
      <c r="B44" s="1" t="s">
        <v>23</v>
      </c>
      <c r="C44" s="1" t="s">
        <v>48</v>
      </c>
      <c r="D44" s="1" t="s">
        <v>121</v>
      </c>
      <c r="E44" s="4" t="n">
        <v>100</v>
      </c>
      <c r="F44" s="5" t="s">
        <v>122</v>
      </c>
      <c r="G44" s="5" t="s">
        <v>27</v>
      </c>
      <c r="H44" s="5" t="s">
        <v>84</v>
      </c>
      <c r="I44" s="5" t="s">
        <v>123</v>
      </c>
      <c r="J44" s="1" t="n">
        <v>100</v>
      </c>
      <c r="K44" s="1" t="n">
        <v>77.5</v>
      </c>
      <c r="M44" s="6" t="n">
        <v>45572</v>
      </c>
      <c r="N44" s="5" t="s">
        <v>124</v>
      </c>
      <c r="O44" s="5" t="s">
        <v>31</v>
      </c>
      <c r="Q44" s="5" t="s">
        <v>64</v>
      </c>
      <c r="R44" s="5" t="s">
        <v>65</v>
      </c>
      <c r="S44" s="5" t="s">
        <v>34</v>
      </c>
      <c r="T44" s="7" t="n">
        <v>830</v>
      </c>
      <c r="U44" s="1" t="n">
        <v>80651</v>
      </c>
      <c r="V44" s="8" t="n">
        <f aca="false">IF(L44&gt;0,L44,K44*T44/100)</f>
        <v>643.25</v>
      </c>
      <c r="W44" s="9" t="e">
        <f aca="false">EOMONTH(H44,0)-(WEEKDAY(EOMONTH(H44,0))-1)</f>
        <v>#VALUE!</v>
      </c>
    </row>
    <row r="45" customFormat="false" ht="15" hidden="false" customHeight="true" outlineLevel="0" collapsed="false">
      <c r="A45" s="1" t="n">
        <v>944</v>
      </c>
      <c r="B45" s="1" t="s">
        <v>23</v>
      </c>
      <c r="C45" s="1" t="s">
        <v>48</v>
      </c>
      <c r="D45" s="1" t="s">
        <v>121</v>
      </c>
      <c r="E45" s="4" t="n">
        <v>100</v>
      </c>
      <c r="F45" s="5" t="s">
        <v>122</v>
      </c>
      <c r="G45" s="5" t="s">
        <v>27</v>
      </c>
      <c r="H45" s="5" t="s">
        <v>28</v>
      </c>
      <c r="I45" s="5" t="s">
        <v>123</v>
      </c>
      <c r="J45" s="1" t="n">
        <v>100</v>
      </c>
      <c r="K45" s="1" t="n">
        <v>70</v>
      </c>
      <c r="M45" s="6" t="n">
        <v>45572</v>
      </c>
      <c r="N45" s="5" t="s">
        <v>124</v>
      </c>
      <c r="O45" s="5" t="s">
        <v>31</v>
      </c>
      <c r="Q45" s="5" t="s">
        <v>125</v>
      </c>
      <c r="R45" s="5" t="s">
        <v>126</v>
      </c>
      <c r="S45" s="5" t="s">
        <v>34</v>
      </c>
      <c r="T45" s="7" t="n">
        <v>71.111111</v>
      </c>
      <c r="U45" s="1" t="n">
        <v>0</v>
      </c>
      <c r="V45" s="8" t="n">
        <f aca="false">IF(L45&gt;0,L45,K45*T45/100)</f>
        <v>49.7777777</v>
      </c>
      <c r="W45" s="9" t="e">
        <f aca="false">EOMONTH(H45,0)-(WEEKDAY(EOMONTH(H45,0))-1)</f>
        <v>#VALUE!</v>
      </c>
    </row>
    <row r="46" customFormat="false" ht="15" hidden="false" customHeight="true" outlineLevel="0" collapsed="false">
      <c r="A46" s="1" t="n">
        <v>945</v>
      </c>
      <c r="B46" s="1" t="s">
        <v>23</v>
      </c>
      <c r="C46" s="1" t="s">
        <v>48</v>
      </c>
      <c r="D46" s="1" t="s">
        <v>121</v>
      </c>
      <c r="E46" s="4" t="n">
        <v>100</v>
      </c>
      <c r="F46" s="5" t="s">
        <v>122</v>
      </c>
      <c r="G46" s="5" t="s">
        <v>27</v>
      </c>
      <c r="H46" s="5" t="s">
        <v>28</v>
      </c>
      <c r="I46" s="5" t="s">
        <v>123</v>
      </c>
      <c r="J46" s="1" t="n">
        <v>100</v>
      </c>
      <c r="K46" s="1" t="n">
        <v>70</v>
      </c>
      <c r="M46" s="6" t="n">
        <v>45572</v>
      </c>
      <c r="N46" s="5" t="s">
        <v>124</v>
      </c>
      <c r="O46" s="5" t="s">
        <v>31</v>
      </c>
      <c r="Q46" s="5" t="s">
        <v>57</v>
      </c>
      <c r="R46" s="5" t="s">
        <v>57</v>
      </c>
      <c r="S46" s="5" t="s">
        <v>34</v>
      </c>
      <c r="T46" s="7" t="n">
        <v>866.666666</v>
      </c>
      <c r="U46" s="1" t="n">
        <v>0</v>
      </c>
      <c r="V46" s="8" t="n">
        <f aca="false">IF(L46&gt;0,L46,K46*T46/100)</f>
        <v>606.6666662</v>
      </c>
      <c r="W46" s="9" t="e">
        <f aca="false">EOMONTH(H46,0)-(WEEKDAY(EOMONTH(H46,0))-1)</f>
        <v>#VALUE!</v>
      </c>
    </row>
    <row r="47" customFormat="false" ht="15" hidden="false" customHeight="true" outlineLevel="0" collapsed="false">
      <c r="A47" s="1" t="n">
        <v>946</v>
      </c>
      <c r="B47" s="1" t="s">
        <v>23</v>
      </c>
      <c r="C47" s="1" t="s">
        <v>48</v>
      </c>
      <c r="D47" s="1" t="s">
        <v>121</v>
      </c>
      <c r="E47" s="4" t="n">
        <v>100</v>
      </c>
      <c r="F47" s="5" t="s">
        <v>122</v>
      </c>
      <c r="G47" s="5" t="s">
        <v>27</v>
      </c>
      <c r="H47" s="5" t="s">
        <v>28</v>
      </c>
      <c r="I47" s="5" t="s">
        <v>123</v>
      </c>
      <c r="J47" s="1" t="n">
        <v>100</v>
      </c>
      <c r="K47" s="1" t="n">
        <v>70</v>
      </c>
      <c r="M47" s="6" t="n">
        <v>45572</v>
      </c>
      <c r="N47" s="5" t="s">
        <v>124</v>
      </c>
      <c r="O47" s="5" t="s">
        <v>31</v>
      </c>
      <c r="Q47" s="5" t="s">
        <v>127</v>
      </c>
      <c r="R47" s="5" t="s">
        <v>127</v>
      </c>
      <c r="S47" s="5" t="s">
        <v>34</v>
      </c>
      <c r="T47" s="7" t="n">
        <v>9371.111111</v>
      </c>
      <c r="U47" s="1" t="n">
        <v>0</v>
      </c>
      <c r="V47" s="8" t="n">
        <f aca="false">IF(L47&gt;0,L47,K47*T47/100)</f>
        <v>6559.7777777</v>
      </c>
      <c r="W47" s="9" t="e">
        <f aca="false">EOMONTH(H47,0)-(WEEKDAY(EOMONTH(H47,0))-1)</f>
        <v>#VALUE!</v>
      </c>
    </row>
    <row r="48" customFormat="false" ht="15" hidden="false" customHeight="true" outlineLevel="0" collapsed="false">
      <c r="A48" s="1" t="n">
        <v>947</v>
      </c>
      <c r="B48" s="1" t="s">
        <v>23</v>
      </c>
      <c r="C48" s="1" t="s">
        <v>48</v>
      </c>
      <c r="D48" s="1" t="s">
        <v>121</v>
      </c>
      <c r="E48" s="4" t="n">
        <v>100</v>
      </c>
      <c r="F48" s="5" t="s">
        <v>122</v>
      </c>
      <c r="G48" s="5" t="s">
        <v>27</v>
      </c>
      <c r="H48" s="5" t="s">
        <v>28</v>
      </c>
      <c r="I48" s="5" t="s">
        <v>123</v>
      </c>
      <c r="J48" s="1" t="n">
        <v>100</v>
      </c>
      <c r="K48" s="1" t="n">
        <v>70</v>
      </c>
      <c r="M48" s="6" t="n">
        <v>45572</v>
      </c>
      <c r="N48" s="5" t="s">
        <v>124</v>
      </c>
      <c r="O48" s="5" t="s">
        <v>31</v>
      </c>
      <c r="Q48" s="5" t="s">
        <v>71</v>
      </c>
      <c r="R48" s="5" t="s">
        <v>72</v>
      </c>
      <c r="S48" s="5" t="s">
        <v>34</v>
      </c>
      <c r="T48" s="7" t="n">
        <v>711.111111</v>
      </c>
      <c r="U48" s="1" t="n">
        <v>0</v>
      </c>
      <c r="V48" s="8" t="n">
        <f aca="false">IF(L48&gt;0,L48,K48*T48/100)</f>
        <v>497.7777777</v>
      </c>
      <c r="W48" s="9" t="e">
        <f aca="false">EOMONTH(H48,0)-(WEEKDAY(EOMONTH(H48,0))-1)</f>
        <v>#VALUE!</v>
      </c>
    </row>
    <row r="49" customFormat="false" ht="15" hidden="false" customHeight="true" outlineLevel="0" collapsed="false">
      <c r="A49" s="1" t="n">
        <v>948</v>
      </c>
      <c r="B49" s="1" t="s">
        <v>23</v>
      </c>
      <c r="C49" s="1" t="s">
        <v>48</v>
      </c>
      <c r="D49" s="1" t="s">
        <v>121</v>
      </c>
      <c r="E49" s="4" t="n">
        <v>100</v>
      </c>
      <c r="F49" s="5" t="s">
        <v>122</v>
      </c>
      <c r="G49" s="5" t="s">
        <v>27</v>
      </c>
      <c r="H49" s="5" t="s">
        <v>28</v>
      </c>
      <c r="I49" s="5" t="s">
        <v>123</v>
      </c>
      <c r="J49" s="1" t="n">
        <v>100</v>
      </c>
      <c r="K49" s="1" t="n">
        <v>75</v>
      </c>
      <c r="M49" s="6" t="n">
        <v>45572</v>
      </c>
      <c r="N49" s="5" t="s">
        <v>124</v>
      </c>
      <c r="O49" s="5" t="s">
        <v>31</v>
      </c>
      <c r="Q49" s="5" t="s">
        <v>128</v>
      </c>
      <c r="R49" s="5" t="s">
        <v>129</v>
      </c>
      <c r="S49" s="5" t="s">
        <v>34</v>
      </c>
      <c r="T49" s="7" t="n">
        <v>71.111111</v>
      </c>
      <c r="U49" s="1" t="n">
        <v>0</v>
      </c>
      <c r="V49" s="8" t="n">
        <f aca="false">IF(L49&gt;0,L49,K49*T49/100)</f>
        <v>53.33333325</v>
      </c>
      <c r="W49" s="9" t="e">
        <f aca="false">EOMONTH(H49,0)-(WEEKDAY(EOMONTH(H49,0))-1)</f>
        <v>#VALUE!</v>
      </c>
    </row>
    <row r="50" customFormat="false" ht="15" hidden="false" customHeight="true" outlineLevel="0" collapsed="false">
      <c r="A50" s="1" t="n">
        <v>949</v>
      </c>
      <c r="B50" s="1" t="s">
        <v>23</v>
      </c>
      <c r="C50" s="1" t="s">
        <v>48</v>
      </c>
      <c r="D50" s="1" t="s">
        <v>121</v>
      </c>
      <c r="E50" s="4" t="n">
        <v>100</v>
      </c>
      <c r="F50" s="5" t="s">
        <v>122</v>
      </c>
      <c r="G50" s="5" t="s">
        <v>27</v>
      </c>
      <c r="H50" s="5" t="s">
        <v>28</v>
      </c>
      <c r="I50" s="5" t="s">
        <v>123</v>
      </c>
      <c r="J50" s="1" t="n">
        <v>100</v>
      </c>
      <c r="K50" s="1" t="n">
        <v>77.5</v>
      </c>
      <c r="M50" s="6" t="n">
        <v>45572</v>
      </c>
      <c r="N50" s="5" t="s">
        <v>124</v>
      </c>
      <c r="O50" s="5" t="s">
        <v>31</v>
      </c>
      <c r="Q50" s="5" t="s">
        <v>130</v>
      </c>
      <c r="R50" s="5" t="s">
        <v>131</v>
      </c>
      <c r="S50" s="5" t="s">
        <v>34</v>
      </c>
      <c r="T50" s="7" t="n">
        <v>3588.888889</v>
      </c>
      <c r="U50" s="1" t="n">
        <v>0</v>
      </c>
      <c r="V50" s="8" t="n">
        <f aca="false">IF(L50&gt;0,L50,K50*T50/100)</f>
        <v>2781.388888975</v>
      </c>
      <c r="W50" s="9" t="e">
        <f aca="false">EOMONTH(H50,0)-(WEEKDAY(EOMONTH(H50,0))-1)</f>
        <v>#VALUE!</v>
      </c>
    </row>
    <row r="51" customFormat="false" ht="15" hidden="false" customHeight="true" outlineLevel="0" collapsed="false">
      <c r="A51" s="1" t="n">
        <v>950</v>
      </c>
      <c r="B51" s="1" t="s">
        <v>23</v>
      </c>
      <c r="C51" s="1" t="s">
        <v>48</v>
      </c>
      <c r="D51" s="1" t="s">
        <v>121</v>
      </c>
      <c r="E51" s="4" t="n">
        <v>100</v>
      </c>
      <c r="F51" s="5" t="s">
        <v>122</v>
      </c>
      <c r="G51" s="5" t="s">
        <v>27</v>
      </c>
      <c r="H51" s="5" t="s">
        <v>28</v>
      </c>
      <c r="I51" s="5" t="s">
        <v>123</v>
      </c>
      <c r="J51" s="1" t="n">
        <v>100</v>
      </c>
      <c r="K51" s="1" t="n">
        <v>77.5</v>
      </c>
      <c r="M51" s="6" t="n">
        <v>45572</v>
      </c>
      <c r="N51" s="5" t="s">
        <v>124</v>
      </c>
      <c r="O51" s="5" t="s">
        <v>31</v>
      </c>
      <c r="Q51" s="5" t="s">
        <v>64</v>
      </c>
      <c r="R51" s="5" t="s">
        <v>65</v>
      </c>
      <c r="S51" s="5" t="s">
        <v>34</v>
      </c>
      <c r="T51" s="7" t="n">
        <v>6631.111111</v>
      </c>
      <c r="U51" s="1" t="n">
        <v>0</v>
      </c>
      <c r="V51" s="8" t="n">
        <f aca="false">IF(L51&gt;0,L51,K51*T51/100)</f>
        <v>5139.111111025</v>
      </c>
      <c r="W51" s="9" t="e">
        <f aca="false">EOMONTH(H51,0)-(WEEKDAY(EOMONTH(H51,0))-1)</f>
        <v>#VALUE!</v>
      </c>
    </row>
    <row r="52" customFormat="false" ht="15" hidden="false" customHeight="true" outlineLevel="0" collapsed="false">
      <c r="A52" s="1" t="n">
        <v>952</v>
      </c>
      <c r="B52" s="1" t="s">
        <v>23</v>
      </c>
      <c r="C52" s="1" t="s">
        <v>37</v>
      </c>
      <c r="D52" s="1" t="s">
        <v>132</v>
      </c>
      <c r="E52" s="4" t="n">
        <v>100</v>
      </c>
      <c r="F52" s="5" t="s">
        <v>99</v>
      </c>
      <c r="G52" s="5" t="s">
        <v>27</v>
      </c>
      <c r="H52" s="5" t="s">
        <v>28</v>
      </c>
      <c r="I52" s="5" t="s">
        <v>133</v>
      </c>
      <c r="J52" s="1" t="n">
        <v>100</v>
      </c>
      <c r="K52" s="1" t="n">
        <v>75</v>
      </c>
      <c r="M52" s="6" t="n">
        <v>45572</v>
      </c>
      <c r="N52" s="5" t="s">
        <v>134</v>
      </c>
      <c r="O52" s="5" t="s">
        <v>31</v>
      </c>
      <c r="Q52" s="5" t="s">
        <v>97</v>
      </c>
      <c r="R52" s="5" t="s">
        <v>97</v>
      </c>
      <c r="S52" s="5" t="s">
        <v>34</v>
      </c>
      <c r="T52" s="7" t="n">
        <v>1881.76</v>
      </c>
      <c r="U52" s="1" t="n">
        <v>0</v>
      </c>
      <c r="V52" s="8" t="n">
        <f aca="false">IF(L52&gt;0,L52,K52*T52/100)</f>
        <v>1411.32</v>
      </c>
      <c r="W52" s="9" t="e">
        <f aca="false">EOMONTH(H52,0)-(WEEKDAY(EOMONTH(H52,0))-1)</f>
        <v>#VALUE!</v>
      </c>
    </row>
    <row r="53" customFormat="false" ht="15" hidden="false" customHeight="true" outlineLevel="0" collapsed="false">
      <c r="A53" s="1" t="n">
        <v>953</v>
      </c>
      <c r="B53" s="1" t="s">
        <v>23</v>
      </c>
      <c r="C53" s="1" t="s">
        <v>37</v>
      </c>
      <c r="D53" s="1" t="s">
        <v>90</v>
      </c>
      <c r="E53" s="4" t="n">
        <v>100</v>
      </c>
      <c r="F53" s="5" t="s">
        <v>39</v>
      </c>
      <c r="G53" s="5" t="s">
        <v>27</v>
      </c>
      <c r="H53" s="5" t="s">
        <v>84</v>
      </c>
      <c r="I53" s="5" t="s">
        <v>135</v>
      </c>
      <c r="J53" s="1" t="n">
        <v>100</v>
      </c>
      <c r="K53" s="1" t="n">
        <v>77.5</v>
      </c>
      <c r="M53" s="6" t="n">
        <v>45572</v>
      </c>
      <c r="N53" s="5" t="s">
        <v>136</v>
      </c>
      <c r="O53" s="5" t="s">
        <v>31</v>
      </c>
      <c r="Q53" s="5" t="s">
        <v>130</v>
      </c>
      <c r="R53" s="5" t="s">
        <v>131</v>
      </c>
      <c r="S53" s="5" t="s">
        <v>34</v>
      </c>
      <c r="T53" s="7" t="n">
        <v>464.0625</v>
      </c>
      <c r="U53" s="1" t="n">
        <v>15304</v>
      </c>
      <c r="V53" s="8" t="n">
        <f aca="false">IF(L53&gt;0,L53,K53*T53/100)</f>
        <v>359.6484375</v>
      </c>
      <c r="W53" s="9" t="e">
        <f aca="false">EOMONTH(H53,0)-(WEEKDAY(EOMONTH(H53,0))-1)</f>
        <v>#VALUE!</v>
      </c>
    </row>
    <row r="54" customFormat="false" ht="15" hidden="false" customHeight="true" outlineLevel="0" collapsed="false">
      <c r="A54" s="1" t="n">
        <v>955</v>
      </c>
      <c r="B54" s="1" t="s">
        <v>23</v>
      </c>
      <c r="C54" s="1" t="s">
        <v>37</v>
      </c>
      <c r="D54" s="1" t="s">
        <v>90</v>
      </c>
      <c r="E54" s="4" t="n">
        <v>100</v>
      </c>
      <c r="F54" s="5" t="s">
        <v>39</v>
      </c>
      <c r="G54" s="5" t="s">
        <v>27</v>
      </c>
      <c r="H54" s="5" t="s">
        <v>28</v>
      </c>
      <c r="I54" s="5" t="s">
        <v>135</v>
      </c>
      <c r="J54" s="1" t="n">
        <v>100</v>
      </c>
      <c r="K54" s="1" t="n">
        <v>77.5</v>
      </c>
      <c r="M54" s="6" t="n">
        <v>45572</v>
      </c>
      <c r="N54" s="5" t="s">
        <v>136</v>
      </c>
      <c r="O54" s="5" t="s">
        <v>31</v>
      </c>
      <c r="Q54" s="5" t="s">
        <v>130</v>
      </c>
      <c r="R54" s="5" t="s">
        <v>131</v>
      </c>
      <c r="S54" s="5" t="s">
        <v>34</v>
      </c>
      <c r="T54" s="7" t="n">
        <v>1458.870968</v>
      </c>
      <c r="U54" s="1" t="n">
        <v>0</v>
      </c>
      <c r="V54" s="8" t="n">
        <f aca="false">IF(L54&gt;0,L54,K54*T54/100)</f>
        <v>1130.6250002</v>
      </c>
      <c r="W54" s="9" t="e">
        <f aca="false">EOMONTH(H54,0)-(WEEKDAY(EOMONTH(H54,0))-1)</f>
        <v>#VALUE!</v>
      </c>
    </row>
    <row r="55" customFormat="false" ht="15" hidden="false" customHeight="true" outlineLevel="0" collapsed="false">
      <c r="A55" s="1" t="n">
        <v>1037</v>
      </c>
      <c r="B55" s="1" t="s">
        <v>23</v>
      </c>
      <c r="C55" s="1" t="s">
        <v>37</v>
      </c>
      <c r="D55" s="1" t="s">
        <v>137</v>
      </c>
      <c r="E55" s="4" t="n">
        <v>100</v>
      </c>
      <c r="F55" s="5" t="s">
        <v>138</v>
      </c>
      <c r="G55" s="5" t="s">
        <v>27</v>
      </c>
      <c r="H55" s="5" t="s">
        <v>84</v>
      </c>
      <c r="I55" s="5" t="s">
        <v>139</v>
      </c>
      <c r="J55" s="1" t="n">
        <v>100</v>
      </c>
      <c r="K55" s="1" t="n">
        <v>0</v>
      </c>
      <c r="M55" s="6" t="n">
        <v>45568</v>
      </c>
      <c r="N55" s="5" t="s">
        <v>140</v>
      </c>
      <c r="O55" s="5" t="s">
        <v>31</v>
      </c>
      <c r="Q55" s="5" t="s">
        <v>141</v>
      </c>
      <c r="R55" s="5" t="s">
        <v>142</v>
      </c>
      <c r="S55" s="5" t="s">
        <v>34</v>
      </c>
      <c r="T55" s="7" t="n">
        <v>219.528571</v>
      </c>
      <c r="U55" s="1" t="n">
        <v>0.16</v>
      </c>
      <c r="V55" s="8" t="n">
        <f aca="false">IF(L55&gt;0,L55,K55*T55/100)</f>
        <v>0</v>
      </c>
      <c r="W55" s="9" t="e">
        <f aca="false">EOMONTH(H55,0)-(WEEKDAY(EOMONTH(H55,0))-1)</f>
        <v>#VALUE!</v>
      </c>
    </row>
    <row r="56" customFormat="false" ht="15" hidden="false" customHeight="true" outlineLevel="0" collapsed="false">
      <c r="A56" s="1" t="n">
        <v>1038</v>
      </c>
      <c r="B56" s="1" t="s">
        <v>23</v>
      </c>
      <c r="C56" s="1" t="s">
        <v>37</v>
      </c>
      <c r="D56" s="1" t="s">
        <v>137</v>
      </c>
      <c r="E56" s="4" t="n">
        <v>100</v>
      </c>
      <c r="F56" s="5" t="s">
        <v>138</v>
      </c>
      <c r="G56" s="5" t="s">
        <v>27</v>
      </c>
      <c r="H56" s="5" t="s">
        <v>84</v>
      </c>
      <c r="I56" s="5" t="s">
        <v>139</v>
      </c>
      <c r="J56" s="1" t="n">
        <v>100</v>
      </c>
      <c r="K56" s="1" t="n">
        <v>60</v>
      </c>
      <c r="M56" s="6" t="n">
        <v>45568</v>
      </c>
      <c r="N56" s="5" t="s">
        <v>140</v>
      </c>
      <c r="O56" s="5" t="s">
        <v>31</v>
      </c>
      <c r="Q56" s="5" t="s">
        <v>111</v>
      </c>
      <c r="R56" s="5" t="s">
        <v>112</v>
      </c>
      <c r="S56" s="5" t="s">
        <v>34</v>
      </c>
      <c r="T56" s="7" t="n">
        <v>2087.25</v>
      </c>
      <c r="U56" s="1" t="n">
        <v>115196</v>
      </c>
      <c r="V56" s="8" t="n">
        <f aca="false">IF(L56&gt;0,L56,K56*T56/100)</f>
        <v>1252.35</v>
      </c>
      <c r="W56" s="9" t="e">
        <f aca="false">EOMONTH(H56,0)-(WEEKDAY(EOMONTH(H56,0))-1)</f>
        <v>#VALUE!</v>
      </c>
    </row>
    <row r="57" customFormat="false" ht="15" hidden="false" customHeight="true" outlineLevel="0" collapsed="false">
      <c r="A57" s="1" t="n">
        <v>1039</v>
      </c>
      <c r="B57" s="1" t="s">
        <v>23</v>
      </c>
      <c r="C57" s="1" t="s">
        <v>37</v>
      </c>
      <c r="D57" s="1" t="s">
        <v>137</v>
      </c>
      <c r="E57" s="4" t="n">
        <v>100</v>
      </c>
      <c r="F57" s="5" t="s">
        <v>138</v>
      </c>
      <c r="G57" s="5" t="s">
        <v>27</v>
      </c>
      <c r="H57" s="5" t="s">
        <v>84</v>
      </c>
      <c r="I57" s="5" t="s">
        <v>139</v>
      </c>
      <c r="J57" s="1" t="n">
        <v>100</v>
      </c>
      <c r="K57" s="1" t="n">
        <v>70</v>
      </c>
      <c r="M57" s="6" t="n">
        <v>45568</v>
      </c>
      <c r="N57" s="5" t="s">
        <v>140</v>
      </c>
      <c r="O57" s="5" t="s">
        <v>31</v>
      </c>
      <c r="Q57" s="5" t="s">
        <v>143</v>
      </c>
      <c r="R57" s="5" t="s">
        <v>144</v>
      </c>
      <c r="S57" s="5" t="s">
        <v>34</v>
      </c>
      <c r="T57" s="7" t="n">
        <v>63.524999</v>
      </c>
      <c r="U57" s="1" t="n">
        <v>3738</v>
      </c>
      <c r="V57" s="8" t="n">
        <f aca="false">IF(L57&gt;0,L57,K57*T57/100)</f>
        <v>44.4674993</v>
      </c>
      <c r="W57" s="9" t="e">
        <f aca="false">EOMONTH(H57,0)-(WEEKDAY(EOMONTH(H57,0))-1)</f>
        <v>#VALUE!</v>
      </c>
    </row>
    <row r="58" customFormat="false" ht="15" hidden="false" customHeight="true" outlineLevel="0" collapsed="false">
      <c r="A58" s="1" t="n">
        <v>1040</v>
      </c>
      <c r="B58" s="1" t="s">
        <v>23</v>
      </c>
      <c r="C58" s="1" t="s">
        <v>37</v>
      </c>
      <c r="D58" s="1" t="s">
        <v>137</v>
      </c>
      <c r="E58" s="4" t="n">
        <v>100</v>
      </c>
      <c r="F58" s="5" t="s">
        <v>138</v>
      </c>
      <c r="G58" s="5" t="s">
        <v>27</v>
      </c>
      <c r="H58" s="5" t="s">
        <v>84</v>
      </c>
      <c r="I58" s="5" t="s">
        <v>139</v>
      </c>
      <c r="J58" s="1" t="n">
        <v>100</v>
      </c>
      <c r="K58" s="1" t="n">
        <v>70</v>
      </c>
      <c r="M58" s="6" t="n">
        <v>45568</v>
      </c>
      <c r="N58" s="5" t="s">
        <v>140</v>
      </c>
      <c r="O58" s="5" t="s">
        <v>31</v>
      </c>
      <c r="Q58" s="5" t="s">
        <v>145</v>
      </c>
      <c r="R58" s="5" t="s">
        <v>146</v>
      </c>
      <c r="S58" s="5" t="s">
        <v>34</v>
      </c>
      <c r="T58" s="7" t="n">
        <v>243.9132</v>
      </c>
      <c r="U58" s="1" t="n">
        <v>8003.999999</v>
      </c>
      <c r="V58" s="8" t="n">
        <f aca="false">IF(L58&gt;0,L58,K58*T58/100)</f>
        <v>170.73924</v>
      </c>
      <c r="W58" s="9" t="e">
        <f aca="false">EOMONTH(H58,0)-(WEEKDAY(EOMONTH(H58,0))-1)</f>
        <v>#VALUE!</v>
      </c>
    </row>
    <row r="59" customFormat="false" ht="15" hidden="false" customHeight="true" outlineLevel="0" collapsed="false">
      <c r="A59" s="1" t="n">
        <v>1041</v>
      </c>
      <c r="B59" s="1" t="s">
        <v>23</v>
      </c>
      <c r="C59" s="1" t="s">
        <v>37</v>
      </c>
      <c r="D59" s="1" t="s">
        <v>137</v>
      </c>
      <c r="E59" s="4" t="n">
        <v>100</v>
      </c>
      <c r="F59" s="5" t="s">
        <v>138</v>
      </c>
      <c r="G59" s="5" t="s">
        <v>27</v>
      </c>
      <c r="H59" s="5" t="s">
        <v>84</v>
      </c>
      <c r="I59" s="5" t="s">
        <v>139</v>
      </c>
      <c r="J59" s="1" t="n">
        <v>100</v>
      </c>
      <c r="K59" s="1" t="n">
        <v>70</v>
      </c>
      <c r="M59" s="6" t="n">
        <v>45568</v>
      </c>
      <c r="N59" s="5" t="s">
        <v>140</v>
      </c>
      <c r="O59" s="5" t="s">
        <v>31</v>
      </c>
      <c r="Q59" s="5" t="s">
        <v>32</v>
      </c>
      <c r="R59" s="5" t="s">
        <v>33</v>
      </c>
      <c r="S59" s="5" t="s">
        <v>34</v>
      </c>
      <c r="T59" s="7" t="n">
        <v>119.2455</v>
      </c>
      <c r="U59" s="1" t="n">
        <v>7240</v>
      </c>
      <c r="V59" s="8" t="n">
        <f aca="false">IF(L59&gt;0,L59,K59*T59/100)</f>
        <v>83.47185</v>
      </c>
      <c r="W59" s="9" t="e">
        <f aca="false">EOMONTH(H59,0)-(WEEKDAY(EOMONTH(H59,0))-1)</f>
        <v>#VALUE!</v>
      </c>
    </row>
    <row r="60" customFormat="false" ht="15" hidden="false" customHeight="true" outlineLevel="0" collapsed="false">
      <c r="A60" s="1" t="n">
        <v>1042</v>
      </c>
      <c r="B60" s="1" t="s">
        <v>23</v>
      </c>
      <c r="C60" s="1" t="s">
        <v>37</v>
      </c>
      <c r="D60" s="1" t="s">
        <v>137</v>
      </c>
      <c r="E60" s="4" t="n">
        <v>100</v>
      </c>
      <c r="F60" s="5" t="s">
        <v>138</v>
      </c>
      <c r="G60" s="5" t="s">
        <v>27</v>
      </c>
      <c r="H60" s="5" t="s">
        <v>84</v>
      </c>
      <c r="I60" s="5" t="s">
        <v>139</v>
      </c>
      <c r="J60" s="1" t="n">
        <v>100</v>
      </c>
      <c r="K60" s="1" t="n">
        <v>70</v>
      </c>
      <c r="M60" s="6" t="n">
        <v>45568</v>
      </c>
      <c r="N60" s="5" t="s">
        <v>140</v>
      </c>
      <c r="O60" s="5" t="s">
        <v>31</v>
      </c>
      <c r="Q60" s="5" t="s">
        <v>42</v>
      </c>
      <c r="R60" s="5" t="s">
        <v>43</v>
      </c>
      <c r="S60" s="5" t="s">
        <v>34</v>
      </c>
      <c r="T60" s="7" t="n">
        <v>54.45</v>
      </c>
      <c r="U60" s="1" t="n">
        <v>3170</v>
      </c>
      <c r="V60" s="8" t="n">
        <f aca="false">IF(L60&gt;0,L60,K60*T60/100)</f>
        <v>38.115</v>
      </c>
      <c r="W60" s="9" t="e">
        <f aca="false">EOMONTH(H60,0)-(WEEKDAY(EOMONTH(H60,0))-1)</f>
        <v>#VALUE!</v>
      </c>
    </row>
    <row r="61" customFormat="false" ht="15" hidden="false" customHeight="true" outlineLevel="0" collapsed="false">
      <c r="A61" s="1" t="n">
        <v>1043</v>
      </c>
      <c r="B61" s="1" t="s">
        <v>23</v>
      </c>
      <c r="C61" s="1" t="s">
        <v>37</v>
      </c>
      <c r="D61" s="1" t="s">
        <v>137</v>
      </c>
      <c r="E61" s="4" t="n">
        <v>100</v>
      </c>
      <c r="F61" s="5" t="s">
        <v>138</v>
      </c>
      <c r="G61" s="5" t="s">
        <v>27</v>
      </c>
      <c r="H61" s="5" t="s">
        <v>84</v>
      </c>
      <c r="I61" s="5" t="s">
        <v>139</v>
      </c>
      <c r="J61" s="1" t="n">
        <v>100</v>
      </c>
      <c r="K61" s="1" t="n">
        <v>70</v>
      </c>
      <c r="M61" s="6" t="n">
        <v>45568</v>
      </c>
      <c r="N61" s="5" t="s">
        <v>140</v>
      </c>
      <c r="O61" s="5" t="s">
        <v>31</v>
      </c>
      <c r="Q61" s="5" t="s">
        <v>44</v>
      </c>
      <c r="R61" s="5" t="s">
        <v>45</v>
      </c>
      <c r="S61" s="5" t="s">
        <v>34</v>
      </c>
      <c r="T61" s="7" t="n">
        <v>36.3</v>
      </c>
      <c r="U61" s="1" t="n">
        <v>2012</v>
      </c>
      <c r="V61" s="8" t="n">
        <f aca="false">IF(L61&gt;0,L61,K61*T61/100)</f>
        <v>25.41</v>
      </c>
      <c r="W61" s="9" t="e">
        <f aca="false">EOMONTH(H61,0)-(WEEKDAY(EOMONTH(H61,0))-1)</f>
        <v>#VALUE!</v>
      </c>
    </row>
    <row r="62" customFormat="false" ht="15" hidden="false" customHeight="true" outlineLevel="0" collapsed="false">
      <c r="A62" s="1" t="n">
        <v>1044</v>
      </c>
      <c r="B62" s="1" t="s">
        <v>23</v>
      </c>
      <c r="C62" s="1" t="s">
        <v>37</v>
      </c>
      <c r="D62" s="1" t="s">
        <v>137</v>
      </c>
      <c r="E62" s="4" t="n">
        <v>100</v>
      </c>
      <c r="F62" s="5" t="s">
        <v>138</v>
      </c>
      <c r="G62" s="5" t="s">
        <v>27</v>
      </c>
      <c r="H62" s="5" t="s">
        <v>84</v>
      </c>
      <c r="I62" s="5" t="s">
        <v>139</v>
      </c>
      <c r="J62" s="1" t="n">
        <v>100</v>
      </c>
      <c r="K62" s="1" t="n">
        <v>75</v>
      </c>
      <c r="M62" s="6" t="n">
        <v>45568</v>
      </c>
      <c r="N62" s="5" t="s">
        <v>140</v>
      </c>
      <c r="O62" s="5" t="s">
        <v>31</v>
      </c>
      <c r="Q62" s="5" t="s">
        <v>119</v>
      </c>
      <c r="R62" s="5" t="s">
        <v>120</v>
      </c>
      <c r="S62" s="5" t="s">
        <v>34</v>
      </c>
      <c r="T62" s="7" t="n">
        <v>18.15</v>
      </c>
      <c r="U62" s="1" t="n">
        <v>1005</v>
      </c>
      <c r="V62" s="8" t="n">
        <f aca="false">IF(L62&gt;0,L62,K62*T62/100)</f>
        <v>13.6125</v>
      </c>
      <c r="W62" s="9" t="e">
        <f aca="false">EOMONTH(H62,0)-(WEEKDAY(EOMONTH(H62,0))-1)</f>
        <v>#VALUE!</v>
      </c>
    </row>
    <row r="63" customFormat="false" ht="15" hidden="false" customHeight="true" outlineLevel="0" collapsed="false">
      <c r="A63" s="1" t="n">
        <v>1045</v>
      </c>
      <c r="B63" s="1" t="s">
        <v>23</v>
      </c>
      <c r="C63" s="1" t="s">
        <v>37</v>
      </c>
      <c r="D63" s="1" t="s">
        <v>137</v>
      </c>
      <c r="E63" s="4" t="n">
        <v>100</v>
      </c>
      <c r="F63" s="5" t="s">
        <v>138</v>
      </c>
      <c r="G63" s="5" t="s">
        <v>27</v>
      </c>
      <c r="H63" s="5" t="s">
        <v>84</v>
      </c>
      <c r="I63" s="5" t="s">
        <v>139</v>
      </c>
      <c r="J63" s="1" t="n">
        <v>100</v>
      </c>
      <c r="K63" s="1" t="n">
        <v>77.5</v>
      </c>
      <c r="M63" s="6" t="n">
        <v>45568</v>
      </c>
      <c r="N63" s="5" t="s">
        <v>140</v>
      </c>
      <c r="O63" s="5" t="s">
        <v>31</v>
      </c>
      <c r="Q63" s="5" t="s">
        <v>130</v>
      </c>
      <c r="R63" s="5" t="s">
        <v>131</v>
      </c>
      <c r="S63" s="5" t="s">
        <v>34</v>
      </c>
      <c r="T63" s="7" t="n">
        <v>544.5</v>
      </c>
      <c r="U63" s="1" t="n">
        <v>30101</v>
      </c>
      <c r="V63" s="8" t="n">
        <f aca="false">IF(L63&gt;0,L63,K63*T63/100)</f>
        <v>421.9875</v>
      </c>
      <c r="W63" s="9" t="e">
        <f aca="false">EOMONTH(H63,0)-(WEEKDAY(EOMONTH(H63,0))-1)</f>
        <v>#VALUE!</v>
      </c>
    </row>
    <row r="64" customFormat="false" ht="15" hidden="false" customHeight="true" outlineLevel="0" collapsed="false">
      <c r="A64" s="1" t="n">
        <v>1046</v>
      </c>
      <c r="B64" s="1" t="s">
        <v>23</v>
      </c>
      <c r="C64" s="1" t="s">
        <v>37</v>
      </c>
      <c r="D64" s="1" t="s">
        <v>137</v>
      </c>
      <c r="E64" s="4" t="n">
        <v>100</v>
      </c>
      <c r="F64" s="5" t="s">
        <v>138</v>
      </c>
      <c r="G64" s="5" t="s">
        <v>27</v>
      </c>
      <c r="H64" s="5" t="s">
        <v>84</v>
      </c>
      <c r="I64" s="5" t="s">
        <v>139</v>
      </c>
      <c r="J64" s="1" t="n">
        <v>100</v>
      </c>
      <c r="K64" s="1" t="n">
        <v>77.5</v>
      </c>
      <c r="M64" s="6" t="n">
        <v>45568</v>
      </c>
      <c r="N64" s="5" t="s">
        <v>140</v>
      </c>
      <c r="O64" s="5" t="s">
        <v>31</v>
      </c>
      <c r="Q64" s="5" t="s">
        <v>64</v>
      </c>
      <c r="R64" s="5" t="s">
        <v>65</v>
      </c>
      <c r="S64" s="5" t="s">
        <v>34</v>
      </c>
      <c r="T64" s="7" t="n">
        <v>1270.5</v>
      </c>
      <c r="U64" s="1" t="n">
        <v>70534</v>
      </c>
      <c r="V64" s="8" t="n">
        <f aca="false">IF(L64&gt;0,L64,K64*T64/100)</f>
        <v>984.6375</v>
      </c>
      <c r="W64" s="9" t="e">
        <f aca="false">EOMONTH(H64,0)-(WEEKDAY(EOMONTH(H64,0))-1)</f>
        <v>#VALUE!</v>
      </c>
    </row>
    <row r="65" customFormat="false" ht="15" hidden="false" customHeight="true" outlineLevel="0" collapsed="false">
      <c r="A65" s="1" t="n">
        <v>1047</v>
      </c>
      <c r="B65" s="1" t="s">
        <v>23</v>
      </c>
      <c r="C65" s="1" t="s">
        <v>37</v>
      </c>
      <c r="D65" s="1" t="s">
        <v>137</v>
      </c>
      <c r="E65" s="4" t="n">
        <v>100</v>
      </c>
      <c r="F65" s="5" t="s">
        <v>138</v>
      </c>
      <c r="G65" s="5" t="s">
        <v>27</v>
      </c>
      <c r="H65" s="5" t="s">
        <v>84</v>
      </c>
      <c r="I65" s="5" t="s">
        <v>139</v>
      </c>
      <c r="J65" s="1" t="n">
        <v>100</v>
      </c>
      <c r="K65" s="1" t="n">
        <v>77.5</v>
      </c>
      <c r="M65" s="6" t="n">
        <v>45568</v>
      </c>
      <c r="N65" s="5" t="s">
        <v>140</v>
      </c>
      <c r="O65" s="5" t="s">
        <v>31</v>
      </c>
      <c r="Q65" s="5" t="s">
        <v>46</v>
      </c>
      <c r="R65" s="5" t="s">
        <v>66</v>
      </c>
      <c r="S65" s="5" t="s">
        <v>34</v>
      </c>
      <c r="T65" s="7" t="n">
        <v>1452</v>
      </c>
      <c r="U65" s="1" t="n">
        <v>80311</v>
      </c>
      <c r="V65" s="8" t="n">
        <f aca="false">IF(L65&gt;0,L65,K65*T65/100)</f>
        <v>1125.3</v>
      </c>
      <c r="W65" s="9" t="e">
        <f aca="false">EOMONTH(H65,0)-(WEEKDAY(EOMONTH(H65,0))-1)</f>
        <v>#VALUE!</v>
      </c>
    </row>
    <row r="66" customFormat="false" ht="15" hidden="false" customHeight="true" outlineLevel="0" collapsed="false">
      <c r="A66" s="1" t="n">
        <v>1048</v>
      </c>
      <c r="B66" s="1" t="s">
        <v>23</v>
      </c>
      <c r="C66" s="1" t="s">
        <v>37</v>
      </c>
      <c r="D66" s="1" t="s">
        <v>137</v>
      </c>
      <c r="E66" s="4" t="n">
        <v>100</v>
      </c>
      <c r="F66" s="5" t="s">
        <v>138</v>
      </c>
      <c r="G66" s="5" t="s">
        <v>27</v>
      </c>
      <c r="H66" s="5" t="s">
        <v>84</v>
      </c>
      <c r="I66" s="5" t="s">
        <v>139</v>
      </c>
      <c r="J66" s="1" t="n">
        <v>100</v>
      </c>
      <c r="K66" s="1" t="n">
        <v>77.5</v>
      </c>
      <c r="M66" s="6" t="n">
        <v>45568</v>
      </c>
      <c r="N66" s="5" t="s">
        <v>140</v>
      </c>
      <c r="O66" s="5" t="s">
        <v>31</v>
      </c>
      <c r="Q66" s="5" t="s">
        <v>46</v>
      </c>
      <c r="R66" s="5" t="s">
        <v>47</v>
      </c>
      <c r="S66" s="5" t="s">
        <v>34</v>
      </c>
      <c r="T66" s="7" t="n">
        <v>1633.5</v>
      </c>
      <c r="U66" s="1" t="n">
        <v>92575</v>
      </c>
      <c r="V66" s="8" t="n">
        <f aca="false">IF(L66&gt;0,L66,K66*T66/100)</f>
        <v>1265.9625</v>
      </c>
      <c r="W66" s="9" t="e">
        <f aca="false">EOMONTH(H66,0)-(WEEKDAY(EOMONTH(H66,0))-1)</f>
        <v>#VALUE!</v>
      </c>
    </row>
    <row r="67" customFormat="false" ht="15" hidden="false" customHeight="true" outlineLevel="0" collapsed="false">
      <c r="A67" s="1" t="n">
        <v>1061</v>
      </c>
      <c r="B67" s="1" t="s">
        <v>23</v>
      </c>
      <c r="C67" s="1" t="s">
        <v>37</v>
      </c>
      <c r="D67" s="1" t="s">
        <v>137</v>
      </c>
      <c r="E67" s="4" t="n">
        <v>100</v>
      </c>
      <c r="F67" s="5" t="s">
        <v>138</v>
      </c>
      <c r="G67" s="5" t="s">
        <v>27</v>
      </c>
      <c r="H67" s="5" t="s">
        <v>28</v>
      </c>
      <c r="I67" s="5" t="s">
        <v>139</v>
      </c>
      <c r="J67" s="1" t="n">
        <v>100</v>
      </c>
      <c r="K67" s="1" t="n">
        <v>0</v>
      </c>
      <c r="M67" s="6" t="n">
        <v>45568</v>
      </c>
      <c r="N67" s="5" t="s">
        <v>140</v>
      </c>
      <c r="O67" s="5" t="s">
        <v>31</v>
      </c>
      <c r="Q67" s="5" t="s">
        <v>141</v>
      </c>
      <c r="R67" s="5" t="s">
        <v>142</v>
      </c>
      <c r="S67" s="5" t="s">
        <v>34</v>
      </c>
      <c r="T67" s="7" t="n">
        <v>578.757143</v>
      </c>
      <c r="U67" s="1" t="n">
        <v>0.41</v>
      </c>
      <c r="V67" s="8" t="n">
        <f aca="false">IF(L67&gt;0,L67,K67*T67/100)</f>
        <v>0</v>
      </c>
      <c r="W67" s="9" t="e">
        <f aca="false">EOMONTH(H67,0)-(WEEKDAY(EOMONTH(H67,0))-1)</f>
        <v>#VALUE!</v>
      </c>
    </row>
    <row r="68" customFormat="false" ht="15" hidden="false" customHeight="true" outlineLevel="0" collapsed="false">
      <c r="A68" s="1" t="n">
        <v>1062</v>
      </c>
      <c r="B68" s="1" t="s">
        <v>23</v>
      </c>
      <c r="C68" s="1" t="s">
        <v>37</v>
      </c>
      <c r="D68" s="1" t="s">
        <v>137</v>
      </c>
      <c r="E68" s="4" t="n">
        <v>100</v>
      </c>
      <c r="F68" s="5" t="s">
        <v>138</v>
      </c>
      <c r="G68" s="5" t="s">
        <v>27</v>
      </c>
      <c r="H68" s="5" t="s">
        <v>28</v>
      </c>
      <c r="I68" s="5" t="s">
        <v>139</v>
      </c>
      <c r="J68" s="1" t="n">
        <v>100</v>
      </c>
      <c r="K68" s="1" t="n">
        <v>60</v>
      </c>
      <c r="M68" s="6" t="n">
        <v>45568</v>
      </c>
      <c r="N68" s="5" t="s">
        <v>140</v>
      </c>
      <c r="O68" s="5" t="s">
        <v>31</v>
      </c>
      <c r="Q68" s="5" t="s">
        <v>111</v>
      </c>
      <c r="R68" s="5" t="s">
        <v>112</v>
      </c>
      <c r="S68" s="5" t="s">
        <v>34</v>
      </c>
      <c r="T68" s="7" t="n">
        <v>5172.749998</v>
      </c>
      <c r="U68" s="1" t="n">
        <v>0</v>
      </c>
      <c r="V68" s="8" t="n">
        <f aca="false">IF(L68&gt;0,L68,K68*T68/100)</f>
        <v>3103.6499988</v>
      </c>
      <c r="W68" s="9" t="e">
        <f aca="false">EOMONTH(H68,0)-(WEEKDAY(EOMONTH(H68,0))-1)</f>
        <v>#VALUE!</v>
      </c>
    </row>
    <row r="69" customFormat="false" ht="15" hidden="false" customHeight="true" outlineLevel="0" collapsed="false">
      <c r="A69" s="1" t="n">
        <v>1063</v>
      </c>
      <c r="B69" s="1" t="s">
        <v>23</v>
      </c>
      <c r="C69" s="1" t="s">
        <v>37</v>
      </c>
      <c r="D69" s="1" t="s">
        <v>137</v>
      </c>
      <c r="E69" s="4" t="n">
        <v>100</v>
      </c>
      <c r="F69" s="5" t="s">
        <v>138</v>
      </c>
      <c r="G69" s="5" t="s">
        <v>27</v>
      </c>
      <c r="H69" s="5" t="s">
        <v>28</v>
      </c>
      <c r="I69" s="5" t="s">
        <v>139</v>
      </c>
      <c r="J69" s="1" t="n">
        <v>100</v>
      </c>
      <c r="K69" s="1" t="n">
        <v>70</v>
      </c>
      <c r="M69" s="6" t="n">
        <v>45568</v>
      </c>
      <c r="N69" s="5" t="s">
        <v>140</v>
      </c>
      <c r="O69" s="5" t="s">
        <v>31</v>
      </c>
      <c r="Q69" s="5" t="s">
        <v>143</v>
      </c>
      <c r="R69" s="5" t="s">
        <v>144</v>
      </c>
      <c r="S69" s="5" t="s">
        <v>34</v>
      </c>
      <c r="T69" s="7" t="n">
        <v>191.845499</v>
      </c>
      <c r="U69" s="1" t="n">
        <v>0</v>
      </c>
      <c r="V69" s="8" t="n">
        <f aca="false">IF(L69&gt;0,L69,K69*T69/100)</f>
        <v>134.2918493</v>
      </c>
      <c r="W69" s="9" t="e">
        <f aca="false">EOMONTH(H69,0)-(WEEKDAY(EOMONTH(H69,0))-1)</f>
        <v>#VALUE!</v>
      </c>
    </row>
    <row r="70" customFormat="false" ht="15" hidden="false" customHeight="true" outlineLevel="0" collapsed="false">
      <c r="A70" s="1" t="n">
        <v>1064</v>
      </c>
      <c r="B70" s="1" t="s">
        <v>23</v>
      </c>
      <c r="C70" s="1" t="s">
        <v>37</v>
      </c>
      <c r="D70" s="1" t="s">
        <v>137</v>
      </c>
      <c r="E70" s="4" t="n">
        <v>100</v>
      </c>
      <c r="F70" s="5" t="s">
        <v>138</v>
      </c>
      <c r="G70" s="5" t="s">
        <v>27</v>
      </c>
      <c r="H70" s="5" t="s">
        <v>28</v>
      </c>
      <c r="I70" s="5" t="s">
        <v>139</v>
      </c>
      <c r="J70" s="1" t="n">
        <v>100</v>
      </c>
      <c r="K70" s="1" t="n">
        <v>70</v>
      </c>
      <c r="M70" s="6" t="n">
        <v>45568</v>
      </c>
      <c r="N70" s="5" t="s">
        <v>140</v>
      </c>
      <c r="O70" s="5" t="s">
        <v>31</v>
      </c>
      <c r="Q70" s="5" t="s">
        <v>145</v>
      </c>
      <c r="R70" s="5" t="s">
        <v>146</v>
      </c>
      <c r="S70" s="5" t="s">
        <v>34</v>
      </c>
      <c r="T70" s="7" t="n">
        <v>731.7396</v>
      </c>
      <c r="U70" s="1" t="n">
        <v>0</v>
      </c>
      <c r="V70" s="8" t="n">
        <f aca="false">IF(L70&gt;0,L70,K70*T70/100)</f>
        <v>512.21772</v>
      </c>
      <c r="W70" s="9" t="e">
        <f aca="false">EOMONTH(H70,0)-(WEEKDAY(EOMONTH(H70,0))-1)</f>
        <v>#VALUE!</v>
      </c>
    </row>
    <row r="71" customFormat="false" ht="15" hidden="false" customHeight="true" outlineLevel="0" collapsed="false">
      <c r="A71" s="1" t="n">
        <v>1065</v>
      </c>
      <c r="B71" s="1" t="s">
        <v>23</v>
      </c>
      <c r="C71" s="1" t="s">
        <v>37</v>
      </c>
      <c r="D71" s="1" t="s">
        <v>137</v>
      </c>
      <c r="E71" s="4" t="n">
        <v>100</v>
      </c>
      <c r="F71" s="5" t="s">
        <v>138</v>
      </c>
      <c r="G71" s="5" t="s">
        <v>27</v>
      </c>
      <c r="H71" s="5" t="s">
        <v>28</v>
      </c>
      <c r="I71" s="5" t="s">
        <v>139</v>
      </c>
      <c r="J71" s="1" t="n">
        <v>100</v>
      </c>
      <c r="K71" s="1" t="n">
        <v>70</v>
      </c>
      <c r="M71" s="6" t="n">
        <v>45568</v>
      </c>
      <c r="N71" s="5" t="s">
        <v>140</v>
      </c>
      <c r="O71" s="5" t="s">
        <v>31</v>
      </c>
      <c r="Q71" s="5" t="s">
        <v>32</v>
      </c>
      <c r="R71" s="5" t="s">
        <v>33</v>
      </c>
      <c r="S71" s="5" t="s">
        <v>34</v>
      </c>
      <c r="T71" s="7" t="n">
        <v>925.649999</v>
      </c>
      <c r="U71" s="1" t="n">
        <v>0</v>
      </c>
      <c r="V71" s="8" t="n">
        <f aca="false">IF(L71&gt;0,L71,K71*T71/100)</f>
        <v>647.9549993</v>
      </c>
      <c r="W71" s="9" t="e">
        <f aca="false">EOMONTH(H71,0)-(WEEKDAY(EOMONTH(H71,0))-1)</f>
        <v>#VALUE!</v>
      </c>
    </row>
    <row r="72" customFormat="false" ht="15" hidden="false" customHeight="true" outlineLevel="0" collapsed="false">
      <c r="A72" s="1" t="n">
        <v>1066</v>
      </c>
      <c r="B72" s="1" t="s">
        <v>23</v>
      </c>
      <c r="C72" s="1" t="s">
        <v>37</v>
      </c>
      <c r="D72" s="1" t="s">
        <v>137</v>
      </c>
      <c r="E72" s="4" t="n">
        <v>100</v>
      </c>
      <c r="F72" s="5" t="s">
        <v>138</v>
      </c>
      <c r="G72" s="5" t="s">
        <v>27</v>
      </c>
      <c r="H72" s="5" t="s">
        <v>28</v>
      </c>
      <c r="I72" s="5" t="s">
        <v>139</v>
      </c>
      <c r="J72" s="1" t="n">
        <v>100</v>
      </c>
      <c r="K72" s="1" t="n">
        <v>70</v>
      </c>
      <c r="M72" s="6" t="n">
        <v>45568</v>
      </c>
      <c r="N72" s="5" t="s">
        <v>140</v>
      </c>
      <c r="O72" s="5" t="s">
        <v>31</v>
      </c>
      <c r="Q72" s="5" t="s">
        <v>42</v>
      </c>
      <c r="R72" s="5" t="s">
        <v>43</v>
      </c>
      <c r="S72" s="5" t="s">
        <v>34</v>
      </c>
      <c r="T72" s="7" t="n">
        <v>1179.749999</v>
      </c>
      <c r="U72" s="1" t="n">
        <v>0</v>
      </c>
      <c r="V72" s="8" t="n">
        <f aca="false">IF(L72&gt;0,L72,K72*T72/100)</f>
        <v>825.8249993</v>
      </c>
      <c r="W72" s="9" t="e">
        <f aca="false">EOMONTH(H72,0)-(WEEKDAY(EOMONTH(H72,0))-1)</f>
        <v>#VALUE!</v>
      </c>
    </row>
    <row r="73" customFormat="false" ht="15" hidden="false" customHeight="true" outlineLevel="0" collapsed="false">
      <c r="A73" s="1" t="n">
        <v>1067</v>
      </c>
      <c r="B73" s="1" t="s">
        <v>23</v>
      </c>
      <c r="C73" s="1" t="s">
        <v>37</v>
      </c>
      <c r="D73" s="1" t="s">
        <v>137</v>
      </c>
      <c r="E73" s="4" t="n">
        <v>100</v>
      </c>
      <c r="F73" s="5" t="s">
        <v>138</v>
      </c>
      <c r="G73" s="5" t="s">
        <v>27</v>
      </c>
      <c r="H73" s="5" t="s">
        <v>28</v>
      </c>
      <c r="I73" s="5" t="s">
        <v>139</v>
      </c>
      <c r="J73" s="1" t="n">
        <v>100</v>
      </c>
      <c r="K73" s="1" t="n">
        <v>70</v>
      </c>
      <c r="M73" s="6" t="n">
        <v>45568</v>
      </c>
      <c r="N73" s="5" t="s">
        <v>140</v>
      </c>
      <c r="O73" s="5" t="s">
        <v>31</v>
      </c>
      <c r="Q73" s="5" t="s">
        <v>44</v>
      </c>
      <c r="R73" s="5" t="s">
        <v>45</v>
      </c>
      <c r="S73" s="5" t="s">
        <v>34</v>
      </c>
      <c r="T73" s="7" t="n">
        <v>108.899999</v>
      </c>
      <c r="U73" s="1" t="n">
        <v>0</v>
      </c>
      <c r="V73" s="8" t="n">
        <f aca="false">IF(L73&gt;0,L73,K73*T73/100)</f>
        <v>76.2299993</v>
      </c>
      <c r="W73" s="9" t="e">
        <f aca="false">EOMONTH(H73,0)-(WEEKDAY(EOMONTH(H73,0))-1)</f>
        <v>#VALUE!</v>
      </c>
    </row>
    <row r="74" customFormat="false" ht="15" hidden="false" customHeight="true" outlineLevel="0" collapsed="false">
      <c r="A74" s="1" t="n">
        <v>1068</v>
      </c>
      <c r="B74" s="1" t="s">
        <v>23</v>
      </c>
      <c r="C74" s="1" t="s">
        <v>37</v>
      </c>
      <c r="D74" s="1" t="s">
        <v>137</v>
      </c>
      <c r="E74" s="4" t="n">
        <v>100</v>
      </c>
      <c r="F74" s="5" t="s">
        <v>138</v>
      </c>
      <c r="G74" s="5" t="s">
        <v>27</v>
      </c>
      <c r="H74" s="5" t="s">
        <v>28</v>
      </c>
      <c r="I74" s="5" t="s">
        <v>139</v>
      </c>
      <c r="J74" s="1" t="n">
        <v>100</v>
      </c>
      <c r="K74" s="1" t="n">
        <v>75</v>
      </c>
      <c r="M74" s="6" t="n">
        <v>45568</v>
      </c>
      <c r="N74" s="5" t="s">
        <v>140</v>
      </c>
      <c r="O74" s="5" t="s">
        <v>31</v>
      </c>
      <c r="Q74" s="5" t="s">
        <v>119</v>
      </c>
      <c r="R74" s="5" t="s">
        <v>120</v>
      </c>
      <c r="S74" s="5" t="s">
        <v>34</v>
      </c>
      <c r="T74" s="7" t="n">
        <v>34.484999</v>
      </c>
      <c r="U74" s="1" t="n">
        <v>0</v>
      </c>
      <c r="V74" s="8" t="n">
        <f aca="false">IF(L74&gt;0,L74,K74*T74/100)</f>
        <v>25.86374925</v>
      </c>
      <c r="W74" s="9" t="e">
        <f aca="false">EOMONTH(H74,0)-(WEEKDAY(EOMONTH(H74,0))-1)</f>
        <v>#VALUE!</v>
      </c>
    </row>
    <row r="75" customFormat="false" ht="15" hidden="false" customHeight="true" outlineLevel="0" collapsed="false">
      <c r="A75" s="1" t="n">
        <v>1069</v>
      </c>
      <c r="B75" s="1" t="s">
        <v>23</v>
      </c>
      <c r="C75" s="1" t="s">
        <v>37</v>
      </c>
      <c r="D75" s="1" t="s">
        <v>137</v>
      </c>
      <c r="E75" s="4" t="n">
        <v>100</v>
      </c>
      <c r="F75" s="5" t="s">
        <v>138</v>
      </c>
      <c r="G75" s="5" t="s">
        <v>27</v>
      </c>
      <c r="H75" s="5" t="s">
        <v>28</v>
      </c>
      <c r="I75" s="5" t="s">
        <v>139</v>
      </c>
      <c r="J75" s="1" t="n">
        <v>100</v>
      </c>
      <c r="K75" s="1" t="n">
        <v>77.5</v>
      </c>
      <c r="M75" s="6" t="n">
        <v>45568</v>
      </c>
      <c r="N75" s="5" t="s">
        <v>140</v>
      </c>
      <c r="O75" s="5" t="s">
        <v>31</v>
      </c>
      <c r="Q75" s="5" t="s">
        <v>130</v>
      </c>
      <c r="R75" s="5" t="s">
        <v>131</v>
      </c>
      <c r="S75" s="5" t="s">
        <v>34</v>
      </c>
      <c r="T75" s="7" t="n">
        <v>1633.499999</v>
      </c>
      <c r="U75" s="1" t="n">
        <v>0</v>
      </c>
      <c r="V75" s="8" t="n">
        <f aca="false">IF(L75&gt;0,L75,K75*T75/100)</f>
        <v>1265.962499225</v>
      </c>
      <c r="W75" s="9" t="e">
        <f aca="false">EOMONTH(H75,0)-(WEEKDAY(EOMONTH(H75,0))-1)</f>
        <v>#VALUE!</v>
      </c>
    </row>
    <row r="76" customFormat="false" ht="15" hidden="false" customHeight="true" outlineLevel="0" collapsed="false">
      <c r="A76" s="1" t="n">
        <v>1070</v>
      </c>
      <c r="B76" s="1" t="s">
        <v>23</v>
      </c>
      <c r="C76" s="1" t="s">
        <v>37</v>
      </c>
      <c r="D76" s="1" t="s">
        <v>137</v>
      </c>
      <c r="E76" s="4" t="n">
        <v>100</v>
      </c>
      <c r="F76" s="5" t="s">
        <v>138</v>
      </c>
      <c r="G76" s="5" t="s">
        <v>27</v>
      </c>
      <c r="H76" s="5" t="s">
        <v>28</v>
      </c>
      <c r="I76" s="5" t="s">
        <v>139</v>
      </c>
      <c r="J76" s="1" t="n">
        <v>100</v>
      </c>
      <c r="K76" s="1" t="n">
        <v>77.5</v>
      </c>
      <c r="M76" s="6" t="n">
        <v>45568</v>
      </c>
      <c r="N76" s="5" t="s">
        <v>140</v>
      </c>
      <c r="O76" s="5" t="s">
        <v>31</v>
      </c>
      <c r="Q76" s="5" t="s">
        <v>64</v>
      </c>
      <c r="R76" s="5" t="s">
        <v>65</v>
      </c>
      <c r="S76" s="5" t="s">
        <v>34</v>
      </c>
      <c r="T76" s="7" t="n">
        <v>2051.022599</v>
      </c>
      <c r="U76" s="1" t="n">
        <v>0</v>
      </c>
      <c r="V76" s="8" t="n">
        <f aca="false">IF(L76&gt;0,L76,K76*T76/100)</f>
        <v>1589.542514225</v>
      </c>
      <c r="W76" s="9" t="e">
        <f aca="false">EOMONTH(H76,0)-(WEEKDAY(EOMONTH(H76,0))-1)</f>
        <v>#VALUE!</v>
      </c>
    </row>
    <row r="77" customFormat="false" ht="15" hidden="false" customHeight="true" outlineLevel="0" collapsed="false">
      <c r="A77" s="1" t="n">
        <v>1071</v>
      </c>
      <c r="B77" s="1" t="s">
        <v>23</v>
      </c>
      <c r="C77" s="1" t="s">
        <v>37</v>
      </c>
      <c r="D77" s="1" t="s">
        <v>137</v>
      </c>
      <c r="E77" s="4" t="n">
        <v>100</v>
      </c>
      <c r="F77" s="5" t="s">
        <v>138</v>
      </c>
      <c r="G77" s="5" t="s">
        <v>27</v>
      </c>
      <c r="H77" s="5" t="s">
        <v>28</v>
      </c>
      <c r="I77" s="5" t="s">
        <v>139</v>
      </c>
      <c r="J77" s="1" t="n">
        <v>100</v>
      </c>
      <c r="K77" s="1" t="n">
        <v>77.5</v>
      </c>
      <c r="M77" s="6" t="n">
        <v>45568</v>
      </c>
      <c r="N77" s="5" t="s">
        <v>140</v>
      </c>
      <c r="O77" s="5" t="s">
        <v>31</v>
      </c>
      <c r="Q77" s="5" t="s">
        <v>46</v>
      </c>
      <c r="R77" s="5" t="s">
        <v>66</v>
      </c>
      <c r="S77" s="5" t="s">
        <v>34</v>
      </c>
      <c r="T77" s="7" t="n">
        <v>3811.5</v>
      </c>
      <c r="U77" s="1" t="n">
        <v>0</v>
      </c>
      <c r="V77" s="8" t="n">
        <f aca="false">IF(L77&gt;0,L77,K77*T77/100)</f>
        <v>2953.9125</v>
      </c>
      <c r="W77" s="9" t="e">
        <f aca="false">EOMONTH(H77,0)-(WEEKDAY(EOMONTH(H77,0))-1)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2025-09-13T16:49:23Z</dcterms:created>
  <dc:creator/>
  <dc:description/>
  <dc:language>en-US</dc:language>
  <cp:lastModifiedBy/>
  <dcterms:modified xsi:type="dcterms:W3CDTF">2025-09-13T16:50:12Z</dcterms:modified>
  <cp:revision>1</cp:revision>
  <dc:subject/>
  <dc:title/>
</cp:coreProperties>
</file>